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86349be71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 Consolidados" sheetId="1" r:id="R76995e9f65ea461b"/>
    <x:sheet xmlns:r="http://schemas.openxmlformats.org/officeDocument/2006/relationships" name="Comparativa proveedores" sheetId="2" r:id="R26fc42807d5a4ae0"/>
    <x:sheet xmlns:r="http://schemas.openxmlformats.org/officeDocument/2006/relationships" name="Detalle comparativa" sheetId="3" r:id="R5d22955903ee4b78"/>
    <x:sheet xmlns:r="http://schemas.openxmlformats.org/officeDocument/2006/relationships" name="Instrucciones_EON" sheetId="4" r:id="R3005cd7973b94e80"/>
    <x:sheet xmlns:r="http://schemas.openxmlformats.org/officeDocument/2006/relationships" name="Materiales_EON" sheetId="5" r:id="R79cbe75c31634274"/>
    <x:sheet xmlns:r="http://schemas.openxmlformats.org/officeDocument/2006/relationships" name="Pendientes_Precios" sheetId="6" r:id="R1923cde3269f4788"/>
    <x:sheet xmlns:r="http://schemas.openxmlformats.org/officeDocument/2006/relationships" name="Listas_EON" sheetId="7" r:id="R2e6d3403a1fd49f1"/>
    <x:sheet xmlns:r="http://schemas.openxmlformats.org/officeDocument/2006/relationships" name="Reglas_EON" sheetId="8" r:id="R65ee40871585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"/>
    <x:numFmt numFmtId="201" formatCode="#,##0.000"/>
    <x:numFmt numFmtId="202" formatCode="0%"/>
    <x:numFmt numFmtId="203" formatCode="#,##0.00 €"/>
    <x:numFmt numFmtId="204" formatCode="0.0%"/>
    <x:numFmt numFmtId="205" formatCode="#,##0.00"/>
    <x:numFmt numFmtId="206" formatCode="#,##0.000 €"/>
    <x:numFmt numFmtId="207" formatCode="0.00%"/>
    <x:numFmt numFmtId="208" formatCode="dd/mm/yyyy"/>
    <x:numFmt numFmtId="209" formatCode="yyyy-mm-dd"/>
  </x:numFmts>
  <x:fonts count="9">
    <x:font>
      <x:sz val="11"/>
      <x:name val="Carlito"/>
    </x:font>
    <x:font>
      <x:b/>
      <x:sz val="16"/>
      <x:color rgb="FF111827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4"/>
      <x:color rgb="FFFFFFFF"/>
      <x:name val="Carlito"/>
    </x:font>
    <x:font>
      <x:sz val="11"/>
      <x:color rgb="FF064E3B"/>
      <x:name val="Carlito"/>
    </x:font>
    <x:font>
      <x:b/>
      <x:sz val="11"/>
      <x:color rgb="FF064E3B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  <x:fill>
      <x:patternFill patternType="solid">
        <x:fgColor rgb="FF064E3B"/>
      </x:patternFill>
    </x:fill>
    <x:fill>
      <x:patternFill patternType="solid">
        <x:fgColor rgb="FFF0FDF4"/>
      </x:patternFill>
    </x:fill>
    <x:fill>
      <x:patternFill patternType="solid">
        <x:fgColor rgb="FFD9EDE9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3A8A"/>
      </x:patternFill>
    </x:fill>
    <x:fill>
      <x:patternFill patternType="solid">
        <x:fgColor rgb="FF334155"/>
      </x:patternFill>
    </x:fill>
    <x:fill>
      <x:patternFill patternType="solid">
        <x:fgColor rgb="FF92400E"/>
      </x:patternFill>
    </x:fill>
    <x:fill>
      <x:patternFill patternType="solid">
        <x:fgColor rgb="FF064E3B"/>
      </x:patternFill>
    </x:fill>
    <x:fill>
      <x:patternFill patternType="solid">
        <x:fgColor rgb="FFD1FAE5"/>
      </x:patternFill>
    </x:fill>
  </x:fills>
  <x:borders count="24">
    <x:border/>
    <x:border/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thin">
        <x:color rgb="FF9CA3AF"/>
      </x:left>
      <x:top style="thin">
        <x:color rgb="FF9CA3AF"/>
      </x:top>
    </x:border>
    <x:border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medium">
        <x:color rgb="FF374151"/>
      </x:left>
      <x:top style="medium">
        <x:color rgb="FF374151"/>
      </x:top>
      <x:bottom style="medium">
        <x:color rgb="FF374151"/>
      </x:bottom>
    </x:border>
    <x:border>
      <x:top style="medium">
        <x:color rgb="FF374151"/>
      </x:top>
      <x:bottom style="medium">
        <x:color rgb="FF374151"/>
      </x:bottom>
    </x:border>
    <x:border>
      <x:right style="medium">
        <x:color rgb="FF374151"/>
      </x:right>
      <x:top style="medium">
        <x:color rgb="FF374151"/>
      </x:top>
      <x:bottom style="medium">
        <x:color rgb="FF374151"/>
      </x:bottom>
    </x:border>
    <x:border>
      <x:left style="medium">
        <x:color rgb="FF374151"/>
      </x:left>
      <x:top style="medium">
        <x:color rgb="FF374151"/>
      </x:top>
      <x:bottom style="medium">
        <x:color rgb="FF374151"/>
      </x:bottom>
    </x:border>
    <x:border>
      <x:top style="medium">
        <x:color rgb="FF374151"/>
      </x:top>
      <x:bottom style="medium">
        <x:color rgb="FF374151"/>
      </x:bottom>
    </x:border>
    <x:border>
      <x:right style="medium">
        <x:color rgb="FF374151"/>
      </x:right>
      <x:top style="medium">
        <x:color rgb="FF374151"/>
      </x:top>
      <x:bottom style="medium">
        <x:color rgb="FF374151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/>
    </x:xf>
    <x:xf numFmtId="0" fontId="3" fillId="2" borderId="11" xfId="0" applyNumberFormat="1" applyFont="1" applyFill="1" applyBorder="1" applyAlignment="1">
      <x:alignment horizontal="center" vertical="center"/>
    </x:xf>
    <x:xf numFmtId="0" fontId="3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1" xfId="0" applyNumberFormat="1" applyFont="1" applyFill="1" applyBorder="1"/>
    <x:xf numFmtId="203" fontId="0" fillId="0" borderId="16" xfId="0" applyNumberFormat="1" applyFont="1" applyFill="1" applyBorder="1"/>
    <x:xf numFmtId="202" fontId="0" fillId="0" borderId="6" xfId="0" applyNumberFormat="1" applyFont="1" applyFill="1" applyBorder="1"/>
    <x:xf numFmtId="202" fontId="0" fillId="0" borderId="14" xfId="0" applyNumberFormat="1" applyFont="1" applyFill="1" applyBorder="1"/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8" xfId="0" applyNumberFormat="1" applyFont="1" applyFill="1" applyBorder="1"/>
    <x:xf numFmtId="203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8" xfId="0" applyNumberFormat="1" applyFont="1" applyFill="1" applyBorder="1"/>
    <x:xf numFmtId="203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8" xfId="0" applyNumberFormat="1" applyFont="1" applyFill="1" applyBorder="1" applyAlignment="1">
      <x:alignment wrapText="1"/>
    </x:xf>
    <x:xf numFmtId="0" fontId="4" fillId="3" borderId="19" xfId="0" applyNumberFormat="1" applyFont="1" applyFill="1" applyBorder="1" applyAlignment="1">
      <x:alignment wrapText="1"/>
    </x:xf>
    <x:xf numFmtId="0" fontId="4" fillId="3" borderId="19" xfId="0" applyNumberFormat="1" applyFont="1" applyFill="1" applyBorder="1"/>
    <x:xf numFmtId="203" fontId="4" fillId="3" borderId="19" xfId="0" applyNumberFormat="1" applyFont="1" applyFill="1" applyBorder="1"/>
    <x:xf numFmtId="0" fontId="4" fillId="3" borderId="20" xfId="0" applyNumberFormat="1" applyFont="1" applyFill="1" applyBorder="1"/>
    <x:xf numFmtId="0" fontId="0" fillId="3" borderId="15" xfId="0" applyNumberFormat="1" applyFont="1" applyFill="1" applyBorder="1" applyAlignment="1">
      <x:alignment wrapText="1"/>
    </x:xf>
    <x:xf numFmtId="0" fontId="0" fillId="3" borderId="16" xfId="0" applyNumberFormat="1" applyFont="1" applyFill="1" applyBorder="1" applyAlignment="1">
      <x:alignment wrapText="1"/>
    </x:xf>
    <x:xf numFmtId="0" fontId="0" fillId="3" borderId="16" xfId="0" applyNumberFormat="1" applyFont="1" applyFill="1" applyBorder="1"/>
    <x:xf numFmtId="203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4" fillId="3" borderId="15" xfId="0" applyNumberFormat="1" applyFont="1" applyFill="1" applyBorder="1" applyAlignment="1">
      <x:alignment wrapText="1"/>
    </x:xf>
    <x:xf numFmtId="0" fontId="4" fillId="3" borderId="16" xfId="0" applyNumberFormat="1" applyFont="1" applyFill="1" applyBorder="1" applyAlignment="1">
      <x:alignment wrapText="1"/>
    </x:xf>
    <x:xf numFmtId="0" fontId="4" fillId="3" borderId="16" xfId="0" applyNumberFormat="1" applyFont="1" applyFill="1" applyBorder="1"/>
    <x:xf numFmtId="203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4" fillId="3" borderId="21" xfId="0" applyNumberFormat="1" applyFont="1" applyFill="1" applyBorder="1" applyAlignment="1">
      <x:alignment wrapText="1"/>
    </x:xf>
    <x:xf numFmtId="0" fontId="4" fillId="3" borderId="22" xfId="0" applyNumberFormat="1" applyFont="1" applyFill="1" applyBorder="1" applyAlignment="1">
      <x:alignment wrapText="1"/>
    </x:xf>
    <x:xf numFmtId="0" fontId="4" fillId="3" borderId="22" xfId="0" applyNumberFormat="1" applyFont="1" applyFill="1" applyBorder="1"/>
    <x:xf numFmtId="203" fontId="4" fillId="3" borderId="22" xfId="0" applyNumberFormat="1" applyFont="1" applyFill="1" applyBorder="1"/>
    <x:xf numFmtId="0" fontId="4" fillId="3" borderId="2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 wrapText="1"/>
    </x:xf>
    <x:xf numFmtId="0" fontId="8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B91C1C"/>
      </x:font>
    </x:dxf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0b230887542d0" /><Relationship Type="http://schemas.openxmlformats.org/officeDocument/2006/relationships/theme" Target="/xl/theme/theme1.xml" Id="Rf96b48a0b1e2434e" /><Relationship Type="http://schemas.openxmlformats.org/officeDocument/2006/relationships/sharedStrings" Target="/xl/sharedStrings.xml" Id="R6706afc983044839" /><Relationship Type="http://schemas.openxmlformats.org/officeDocument/2006/relationships/worksheet" Target="/xl/worksheets/sheet1.xml" Id="R76995e9f65ea461b" /><Relationship Type="http://schemas.openxmlformats.org/officeDocument/2006/relationships/worksheet" Target="/xl/worksheets/sheet2.xml" Id="R26fc42807d5a4ae0" /><Relationship Type="http://schemas.openxmlformats.org/officeDocument/2006/relationships/worksheet" Target="/xl/worksheets/sheet3.xml" Id="R5d22955903ee4b78" /><Relationship Type="http://schemas.openxmlformats.org/officeDocument/2006/relationships/worksheet" Target="/xl/worksheets/sheet4.xml" Id="R3005cd7973b94e80" /><Relationship Type="http://schemas.openxmlformats.org/officeDocument/2006/relationships/worksheet" Target="/xl/worksheets/sheet5.xml" Id="R79cbe75c31634274" /><Relationship Type="http://schemas.openxmlformats.org/officeDocument/2006/relationships/worksheet" Target="/xl/worksheets/sheet6.xml" Id="R1923cde3269f4788" /><Relationship Type="http://schemas.openxmlformats.org/officeDocument/2006/relationships/worksheet" Target="/xl/worksheets/sheet7.xml" Id="R2e6d3403a1fd49f1" /><Relationship Type="http://schemas.openxmlformats.org/officeDocument/2006/relationships/worksheet" Target="/xl/worksheets/sheet8.xml" Id="R65ee408715854c8d" /></Relationships>
</file>

<file path=xl/tables/table1.xml><?xml version="1.0" encoding="utf-8"?>
<x:table xmlns:x="http://schemas.openxmlformats.org/spreadsheetml/2006/main" id="1" name="TablaComparativaProveedores" displayName="TablaComparativaProveedores" ref="A5:N10" headerRowCount="1">
  <x:tableColumns count="14">
    <x:tableColumn id="1" name="Producto comparable"/>
    <x:tableColumn id="2" name="Confianza"/>
    <x:tableColumn id="3" name="Nº proveedores"/>
    <x:tableColumn id="4" name="Proveedores encontrados"/>
    <x:tableColumn id="5" name="Proveedor más barato"/>
    <x:tableColumn id="6" name="Precio neto mín."/>
    <x:tableColumn id="7" name="2º proveedor"/>
    <x:tableColumn id="8" name="2º precio neto"/>
    <x:tableColumn id="9" name="Ahorro €/ud"/>
    <x:tableColumn id="10" name="Ahorro %"/>
    <x:tableColumn id="11" name="Doc. mejor precio"/>
    <x:tableColumn id="12" name="Fecha"/>
    <x:tableColumn id="13" name="Referencia"/>
    <x:tableColumn id="14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ablaDetalleComparativa" displayName="TablaDetalleComparativa" ref="A1:O32" headerRowCount="1">
  <x:tableColumns count="15">
    <x:tableColumn id="1" name="Producto comparable"/>
    <x:tableColumn id="2" name="Confianza"/>
    <x:tableColumn id="3" name="Proveedor"/>
    <x:tableColumn id="4" name="Documento"/>
    <x:tableColumn id="5" name="Fecha"/>
    <x:tableColumn id="6" name="Referencia"/>
    <x:tableColumn id="7" name="Código"/>
    <x:tableColumn id="8" name="Descripción original"/>
    <x:tableColumn id="9" name="Cantidad"/>
    <x:tableColumn id="10" name="Precio Ud. bruto"/>
    <x:tableColumn id="11" name="Dto %"/>
    <x:tableColumn id="12" name="Precio neto ud."/>
    <x:tableColumn id="13" name="Total línea"/>
    <x:tableColumn id="14" name="IGIC %"/>
    <x:tableColumn id="15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MaterialesEON" displayName="MaterialesEON" ref="A1:AF453" headerRowCount="1">
  <x:tableColumns count="32">
    <x:tableColumn id="1" name="ID_EON"/>
    <x:tableColumn id="2" name="Activo"/>
    <x:tableColumn id="3" name="Categoría_EON"/>
    <x:tableColumn id="4" name="Subcategoría"/>
    <x:tableColumn id="5" name="Producto_Normalizado"/>
    <x:tableColumn id="6" name="Descripción_Proveedor"/>
    <x:tableColumn id="7" name="Código_Proveedor"/>
    <x:tableColumn id="8" name="Proveedor"/>
    <x:tableColumn id="9" name="Documento_Origen"/>
    <x:tableColumn id="10" name="Fecha_Precio"/>
    <x:tableColumn id="11" name="Referencia"/>
    <x:tableColumn id="12" name="Cantidad_Origen"/>
    <x:tableColumn id="13" name="Unidad_Compra"/>
    <x:tableColumn id="14" name="Contenido_Unidad"/>
    <x:tableColumn id="15" name="Unidad_Cálculo"/>
    <x:tableColumn id="16" name="Precio_Bruto_Ud"/>
    <x:tableColumn id="17" name="Descuento_Proveedor"/>
    <x:tableColumn id="18" name="Total_Línea_Neto"/>
    <x:tableColumn id="19" name="Coste_Neto_Ud_Sin_IGIC"/>
    <x:tableColumn id="20" name="IGIC"/>
    <x:tableColumn id="21" name="Coste_Ud_Con_IGIC"/>
    <x:tableColumn id="22" name="Precio_Cliente_Sin_IGIC"/>
    <x:tableColumn id="23" name="Margen_€/Ud"/>
    <x:tableColumn id="24" name="Margen_Sobre_Venta"/>
    <x:tableColumn id="25" name="Tipo_Imputación"/>
    <x:tableColumn id="26" name="Regla_Cálculo_EON"/>
    <x:tableColumn id="27" name="Equivalencia_Cálculo"/>
    <x:tableColumn id="28" name="Proveedor_Recomendado"/>
    <x:tableColumn id="29" name="Confianza_Comparativa"/>
    <x:tableColumn id="30" name="Fecha_Actualización"/>
    <x:tableColumn id="31" name="Revisar"/>
    <x:tableColumn id="32" name="Observaciones_EON"/>
  </x:tableColumns>
  <x:tableStyleInfo name="TableStyleMedium2" showRowStripes="1"/>
</x:table>
</file>

<file path=xl/tables/table4.xml><?xml version="1.0" encoding="utf-8"?>
<x:table xmlns:x="http://schemas.openxmlformats.org/spreadsheetml/2006/main" id="4" name="PendientesPrecios" displayName="PendientesPrecios" ref="A1:L51" headerRowCount="1">
  <x:tableColumns count="12">
    <x:tableColumn id="1" name="Estado"/>
    <x:tableColumn id="2" name="Fecha"/>
    <x:tableColumn id="3" name="Material/Pieza faltante"/>
    <x:tableColumn id="4" name="Categoría"/>
    <x:tableColumn id="5" name="Descripción necesaria"/>
    <x:tableColumn id="6" name="Proveedor sugerido"/>
    <x:tableColumn id="7" name="Cantidad/Unidad"/>
    <x:tableColumn id="8" name="Coste proveedor sin IGIC"/>
    <x:tableColumn id="9" name="Precio cliente sin IGIC"/>
    <x:tableColumn id="10" name="IGIC"/>
    <x:tableColumn id="11" name="Observaciones"/>
    <x:tableColumn id="12" name="Añadido a Materiales_EON"/>
  </x:tableColumns>
  <x:tableStyleInfo name="TableStyleMedium2" showRowStripes="1"/>
</x:table>
</file>

<file path=xl/tables/table5.xml><?xml version="1.0" encoding="utf-8"?>
<x:table xmlns:x="http://schemas.openxmlformats.org/spreadsheetml/2006/main" id="5" name="ReglasEON" displayName="ReglasEON" ref="A1:C19" headerRowCount="1">
  <x:tableColumns count="3">
    <x:tableColumn id="1" name="Área"/>
    <x:tableColumn id="2" name="Regla"/>
    <x:tableColumn id="3" name="Valor/Ac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9f6ba18e2041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0b65244d73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852632b19c749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7514305159d45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8398033bbb94577" /></Relationships>
</file>

<file path=xl/worksheets/sheet1.xml><?xml version="1.0" encoding="utf-8"?>
<x:worksheet xmlns:x="http://schemas.openxmlformats.org/spreadsheetml/2006/main">
  <x:sheetFormatPr defaultRowHeight="15"/>
  <x:cols>
    <x:col min="2" max="2" width="24" hidden="0" customWidth="1"/>
    <x:col min="3" max="3" width="36" hidden="0" customWidth="1"/>
    <x:col min="4" max="4" width="14" hidden="0" customWidth="1"/>
    <x:col min="5" max="5" width="32" hidden="0" customWidth="1"/>
    <x:col min="6" max="6" width="25" hidden="0" customWidth="1"/>
    <x:col min="7" max="7" width="44" hidden="0" customWidth="1"/>
    <x:col min="8" max="8" width="11" hidden="0" customWidth="1"/>
    <x:col min="9" max="9" width="12" hidden="0" customWidth="1"/>
    <x:col min="10" max="10" width="10" hidden="0" customWidth="1"/>
    <x:col min="11" max="11" width="13" hidden="0" customWidth="1"/>
    <x:col min="12" max="12" width="10" hidden="0" customWidth="1"/>
  </x:cols>
  <x:sheetData>
    <x:row r="2">
      <x:c r="B2" s="4" t="str">
        <x:v>Consolidado de Productos - INDEX CLIMA MPC, S.L.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B3" s="9" t="str">
        <x:v>Listado unificado de presupuestos, albaranes y facturas de venta con proveedor por producto.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5" ht="24" customHeight="1">
      <x:c r="B5" s="21" t="str">
        <x:v>Documento</x:v>
      </x:c>
      <x:c r="C5" s="22" t="str">
        <x:v>Proveedor</x:v>
      </x:c>
      <x:c r="D5" s="22" t="str">
        <x:v>Fecha</x:v>
      </x:c>
      <x:c r="E5" s="22" t="str">
        <x:v>Referencia</x:v>
      </x:c>
      <x:c r="F5" s="22" t="str">
        <x:v>Código</x:v>
      </x:c>
      <x:c r="G5" s="22" t="str">
        <x:v>Descripción</x:v>
      </x:c>
      <x:c r="H5" s="22" t="str">
        <x:v>Cantidad</x:v>
      </x:c>
      <x:c r="I5" s="22" t="str">
        <x:v>Precio Ud.</x:v>
      </x:c>
      <x:c r="J5" s="22" t="str">
        <x:v>Dto %</x:v>
      </x:c>
      <x:c r="K5" s="22" t="str">
        <x:v>Total</x:v>
      </x:c>
      <x:c r="L5" s="23" t="str">
        <x:v>IGIC %</x:v>
      </x:c>
    </x:row>
    <x:row r="6">
      <x:c r="B6" s="37" t="str">
        <x:v>Presupuesto TF/26002193</x:v>
      </x:c>
      <x:c r="C6" s="38" t="str">
        <x:v>Comercial Santana Alemán y González, S.L. (Grupo SAG)</x:v>
      </x:c>
      <x:c r="D6" s="38" t="str">
        <x:v>19/06/2026</x:v>
      </x:c>
      <x:c r="E6" s="38" t="str">
        <x:v>ULL</x:v>
      </x:c>
      <x:c r="F6" s="38" t="str">
        <x:v>0</x:v>
      </x:c>
      <x:c r="G6" s="38" t="str">
        <x:v>UD. EXTERIOR MULTI V LG MOD. ARUN080LSS5 TRIF</x:v>
      </x:c>
      <x:c r="H6" s="45" t="n">
        <x:v>1</x:v>
      </x:c>
      <x:c r="I6" s="47" t="n">
        <x:v>9386</x:v>
      </x:c>
      <x:c r="J6" s="49" t="n">
        <x:v>0.45</x:v>
      </x:c>
      <x:c r="K6" s="51" t="n">
        <x:v>5162.3</x:v>
      </x:c>
      <x:c r="L6" s="55" t="n">
        <x:v>0.07</x:v>
      </x:c>
    </x:row>
    <x:row r="7">
      <x:c r="B7" s="37" t="str">
        <x:v>Presupuesto TF/26002193</x:v>
      </x:c>
      <x:c r="C7" s="38" t="str">
        <x:v>Comercial Santana Alemán y González, S.L. (Grupo SAG)</x:v>
      </x:c>
      <x:c r="D7" s="38" t="str">
        <x:v>19/06/2026</x:v>
      </x:c>
      <x:c r="E7" s="38" t="str">
        <x:v>ULL</x:v>
      </x:c>
      <x:c r="F7" s="38" t="str">
        <x:v>ARNU12GTRB4</x:v>
      </x:c>
      <x:c r="G7" s="38" t="str">
        <x:v>UD INTERIOR CASSETTE 4 VIAS MULTI V LG MOD. ARNU12GTRB4 (3,60 KW)</x:v>
      </x:c>
      <x:c r="H7" s="45" t="n">
        <x:v>3</x:v>
      </x:c>
      <x:c r="I7" s="47" t="n">
        <x:v>1387</x:v>
      </x:c>
      <x:c r="J7" s="49" t="n">
        <x:v>0.45</x:v>
      </x:c>
      <x:c r="K7" s="51" t="n">
        <x:v>2288.55</x:v>
      </x:c>
      <x:c r="L7" s="55" t="n">
        <x:v>0.07</x:v>
      </x:c>
    </x:row>
    <x:row r="8">
      <x:c r="B8" s="37" t="str">
        <x:v>Presupuesto TF/26002193</x:v>
      </x:c>
      <x:c r="C8" s="38" t="str">
        <x:v>Comercial Santana Alemán y González, S.L. (Grupo SAG)</x:v>
      </x:c>
      <x:c r="D8" s="38" t="str">
        <x:v>19/06/2026</x:v>
      </x:c>
      <x:c r="E8" s="38" t="str">
        <x:v>ULL</x:v>
      </x:c>
      <x:c r="F8" s="38" t="str">
        <x:v>ARNU15GTQB4</x:v>
      </x:c>
      <x:c r="G8" s="38" t="str">
        <x:v>UD INTERIOR CASSETTE 4 VIAS MULTI V LG MOD. ARNU15GTQB4 (4,50KW)</x:v>
      </x:c>
      <x:c r="H8" s="45" t="n">
        <x:v>2</x:v>
      </x:c>
      <x:c r="I8" s="47" t="n">
        <x:v>1537</x:v>
      </x:c>
      <x:c r="J8" s="49" t="n">
        <x:v>0.45</x:v>
      </x:c>
      <x:c r="K8" s="51" t="n">
        <x:v>1690.7</x:v>
      </x:c>
      <x:c r="L8" s="55" t="n">
        <x:v>0.07</x:v>
      </x:c>
    </x:row>
    <x:row r="9">
      <x:c r="B9" s="37" t="str">
        <x:v>Presupuesto TF/26002193</x:v>
      </x:c>
      <x:c r="C9" s="38" t="str">
        <x:v>Comercial Santana Alemán y González, S.L. (Grupo SAG)</x:v>
      </x:c>
      <x:c r="D9" s="38" t="str">
        <x:v>19/06/2026</x:v>
      </x:c>
      <x:c r="E9" s="38" t="str">
        <x:v>ULL</x:v>
      </x:c>
      <x:c r="F9" s="38" t="str">
        <x:v>ARBLN01621</x:v>
      </x:c>
      <x:c r="G9" s="38" t="str">
        <x:v>JUNTA DE DERIVACION LG MOD. ARBLN01621</x:v>
      </x:c>
      <x:c r="H9" s="45" t="n">
        <x:v>4</x:v>
      </x:c>
      <x:c r="I9" s="47" t="n">
        <x:v>117</x:v>
      </x:c>
      <x:c r="J9" s="49" t="n">
        <x:v>0.45</x:v>
      </x:c>
      <x:c r="K9" s="51" t="n">
        <x:v>257.4</x:v>
      </x:c>
      <x:c r="L9" s="55" t="n">
        <x:v>0.07</x:v>
      </x:c>
    </x:row>
    <x:row r="10">
      <x:c r="B10" s="37" t="str">
        <x:v>Presupuesto TF/26002193</x:v>
      </x:c>
      <x:c r="C10" s="38" t="str">
        <x:v>Comercial Santana Alemán y González, S.L. (Grupo SAG)</x:v>
      </x:c>
      <x:c r="D10" s="38" t="str">
        <x:v>19/06/2026</x:v>
      </x:c>
      <x:c r="E10" s="38" t="str">
        <x:v>ULL</x:v>
      </x:c>
      <x:c r="F10" s="38" t="str">
        <x:v>PREMTB001</x:v>
      </x:c>
      <x:c r="G10" s="38" t="str">
        <x:v>MANDO POR CABLE LG MOD. PREMTB001</x:v>
      </x:c>
      <x:c r="H10" s="45" t="n">
        <x:v>4</x:v>
      </x:c>
      <x:c r="I10" s="47" t="n">
        <x:v>127</x:v>
      </x:c>
      <x:c r="J10" s="49" t="n">
        <x:v>0.45</x:v>
      </x:c>
      <x:c r="K10" s="51" t="n">
        <x:v>279.4</x:v>
      </x:c>
      <x:c r="L10" s="55" t="n">
        <x:v>0.07</x:v>
      </x:c>
    </x:row>
    <x:row r="11">
      <x:c r="B11" s="37" t="str">
        <x:v>Presupuesto TF/26002193</x:v>
      </x:c>
      <x:c r="C11" s="38" t="str">
        <x:v>Comercial Santana Alemán y González, S.L. (Grupo SAG)</x:v>
      </x:c>
      <x:c r="D11" s="38" t="str">
        <x:v>19/06/2026</x:v>
      </x:c>
      <x:c r="E11" s="38" t="str">
        <x:v>ULL</x:v>
      </x:c>
      <x:c r="F11" s="38" t="str">
        <x:v>PZCWRCG3</x:v>
      </x:c>
      <x:c r="G11" s="38" t="str">
        <x:v>CONECTOR/CABLE LG PARA CONTROL DE GRUPO PZCWRCG3</x:v>
      </x:c>
      <x:c r="H11" s="45" t="n">
        <x:v>1</x:v>
      </x:c>
      <x:c r="I11" s="47" t="n">
        <x:v>28</x:v>
      </x:c>
      <x:c r="J11" s="49" t="n">
        <x:v>0.4</x:v>
      </x:c>
      <x:c r="K11" s="51" t="n">
        <x:v>16.8</x:v>
      </x:c>
      <x:c r="L11" s="55" t="n">
        <x:v>0.07</x:v>
      </x:c>
    </x:row>
    <x:row r="12">
      <x:c r="B12" s="37" t="str">
        <x:v>Presupuesto TF/26002193</x:v>
      </x:c>
      <x:c r="C12" s="38" t="str">
        <x:v>Comercial Santana Alemán y González, S.L. (Grupo SAG)</x:v>
      </x:c>
      <x:c r="D12" s="38" t="str">
        <x:v>19/06/2026</x:v>
      </x:c>
      <x:c r="E12" s="38" t="str">
        <x:v>ULL</x:v>
      </x:c>
      <x:c r="F12" s="38" t="str">
        <x:v>PT-QAGWO</x:v>
      </x:c>
      <x:c r="G12" s="38" t="str">
        <x:v>PANEL LG MOD. PT-QAGWO (620*34*620 MM)</x:v>
      </x:c>
      <x:c r="H12" s="45" t="n">
        <x:v>5</x:v>
      </x:c>
      <x:c r="I12" s="47" t="n">
        <x:v>204</x:v>
      </x:c>
      <x:c r="J12" s="49" t="n">
        <x:v>0.45</x:v>
      </x:c>
      <x:c r="K12" s="51" t="n">
        <x:v>561</x:v>
      </x:c>
      <x:c r="L12" s="55" t="n">
        <x:v>0.07</x:v>
      </x:c>
    </x:row>
    <x:row r="13">
      <x:c r="B13" s="37" t="str">
        <x:v>Presupuesto TF/26002193</x:v>
      </x:c>
      <x:c r="C13" s="38" t="str">
        <x:v>Comercial Santana Alemán y González, S.L. (Grupo SAG)</x:v>
      </x:c>
      <x:c r="D13" s="38" t="str">
        <x:v>19/06/2026</x:v>
      </x:c>
      <x:c r="E13" s="38" t="str">
        <x:v>ULL</x:v>
      </x:c>
      <x:c r="F13" s="38" t="str">
        <x:v>4101124</x:v>
      </x:c>
      <x:c r="G13" s="38" t="str">
        <x:v>ROLLO DE COBRE DESNUDO 1/4 0,8 MM 15,25 M</x:v>
      </x:c>
      <x:c r="H13" s="45" t="n">
        <x:v>1</x:v>
      </x:c>
      <x:c r="I13" s="47" t="n">
        <x:v>36</x:v>
      </x:c>
      <x:c r="J13" s="49" t="n">
        <x:v>0</x:v>
      </x:c>
      <x:c r="K13" s="51" t="n">
        <x:v>36</x:v>
      </x:c>
      <x:c r="L13" s="55" t="n">
        <x:v>0.07</x:v>
      </x:c>
    </x:row>
    <x:row r="14">
      <x:c r="B14" s="37" t="str">
        <x:v>Presupuesto TF/26002193</x:v>
      </x:c>
      <x:c r="C14" s="38" t="str">
        <x:v>Comercial Santana Alemán y González, S.L. (Grupo SAG)</x:v>
      </x:c>
      <x:c r="D14" s="38" t="str">
        <x:v>19/06/2026</x:v>
      </x:c>
      <x:c r="E14" s="38" t="str">
        <x:v>ULL</x:v>
      </x:c>
      <x:c r="F14" s="38" t="str">
        <x:v>4101006</x:v>
      </x:c>
      <x:c r="G14" s="38" t="str">
        <x:v>ML TUBO COBRE RIGIDO 3/8*0,8MM (5 METROS)</x:v>
      </x:c>
      <x:c r="H14" s="45" t="n">
        <x:v>30</x:v>
      </x:c>
      <x:c r="I14" s="47" t="n">
        <x:v>3.7</x:v>
      </x:c>
      <x:c r="J14" s="49" t="n">
        <x:v>0</x:v>
      </x:c>
      <x:c r="K14" s="51" t="n">
        <x:v>111</x:v>
      </x:c>
      <x:c r="L14" s="55" t="n">
        <x:v>0.07</x:v>
      </x:c>
    </x:row>
    <x:row r="15">
      <x:c r="B15" s="37" t="str">
        <x:v>Presupuesto TF/26002193</x:v>
      </x:c>
      <x:c r="C15" s="38" t="str">
        <x:v>Comercial Santana Alemán y González, S.L. (Grupo SAG)</x:v>
      </x:c>
      <x:c r="D15" s="38" t="str">
        <x:v>19/06/2026</x:v>
      </x:c>
      <x:c r="E15" s="38" t="str">
        <x:v>ULL</x:v>
      </x:c>
      <x:c r="F15" s="38" t="str">
        <x:v>4101134</x:v>
      </x:c>
      <x:c r="G15" s="38" t="str">
        <x:v>ML TUBO COBRE RIGIDO 1/2"*0,8MM (5 METROS)</x:v>
      </x:c>
      <x:c r="H15" s="45" t="n">
        <x:v>15</x:v>
      </x:c>
      <x:c r="I15" s="47" t="n">
        <x:v>4.9</x:v>
      </x:c>
      <x:c r="J15" s="49" t="n">
        <x:v>0</x:v>
      </x:c>
      <x:c r="K15" s="51" t="n">
        <x:v>73.5</x:v>
      </x:c>
      <x:c r="L15" s="55" t="n">
        <x:v>0.07</x:v>
      </x:c>
    </x:row>
    <x:row r="16">
      <x:c r="B16" s="37" t="str">
        <x:v>Presupuesto TF/26002193</x:v>
      </x:c>
      <x:c r="C16" s="38" t="str">
        <x:v>Comercial Santana Alemán y González, S.L. (Grupo SAG)</x:v>
      </x:c>
      <x:c r="D16" s="38" t="str">
        <x:v>19/06/2026</x:v>
      </x:c>
      <x:c r="E16" s="38" t="str">
        <x:v>ULL</x:v>
      </x:c>
      <x:c r="F16" s="38" t="str">
        <x:v>4101135</x:v>
      </x:c>
      <x:c r="G16" s="38" t="str">
        <x:v>ML TUBO COBRE RIGIDO 5/8"*0,8MM (5 METROS)</x:v>
      </x:c>
      <x:c r="H16" s="45" t="n">
        <x:v>30</x:v>
      </x:c>
      <x:c r="I16" s="47" t="n">
        <x:v>6.4</x:v>
      </x:c>
      <x:c r="J16" s="49" t="n">
        <x:v>0</x:v>
      </x:c>
      <x:c r="K16" s="51" t="n">
        <x:v>192</x:v>
      </x:c>
      <x:c r="L16" s="55" t="n">
        <x:v>0.07</x:v>
      </x:c>
    </x:row>
    <x:row r="17">
      <x:c r="B17" s="37" t="str">
        <x:v>Presupuesto TF/26002193</x:v>
      </x:c>
      <x:c r="C17" s="38" t="str">
        <x:v>Comercial Santana Alemán y González, S.L. (Grupo SAG)</x:v>
      </x:c>
      <x:c r="D17" s="38" t="str">
        <x:v>19/06/2026</x:v>
      </x:c>
      <x:c r="E17" s="38" t="str">
        <x:v>ULL</x:v>
      </x:c>
      <x:c r="F17" s="38" t="str">
        <x:v>4101136</x:v>
      </x:c>
      <x:c r="G17" s="38" t="str">
        <x:v>ML TUBO COBRE RIGIDO 3/4"*0,8MM (5 METROS)</x:v>
      </x:c>
      <x:c r="H17" s="45" t="n">
        <x:v>5</x:v>
      </x:c>
      <x:c r="I17" s="47" t="n">
        <x:v>7.5</x:v>
      </x:c>
      <x:c r="J17" s="49" t="n">
        <x:v>0</x:v>
      </x:c>
      <x:c r="K17" s="51" t="n">
        <x:v>37.5</x:v>
      </x:c>
      <x:c r="L17" s="55" t="n">
        <x:v>0.07</x:v>
      </x:c>
    </x:row>
    <x:row r="18">
      <x:c r="B18" s="37" t="str">
        <x:v>Presupuesto TF/26002193</x:v>
      </x:c>
      <x:c r="C18" s="38" t="str">
        <x:v>Comercial Santana Alemán y González, S.L. (Grupo SAG)</x:v>
      </x:c>
      <x:c r="D18" s="38" t="str">
        <x:v>19/06/2026</x:v>
      </x:c>
      <x:c r="E18" s="38" t="str">
        <x:v>ULL</x:v>
      </x:c>
      <x:c r="F18" s="38" t="str">
        <x:v>4001200</x:v>
      </x:c>
      <x:c r="G18" s="38" t="str">
        <x:v>ML. COQUILLA KAIFLEX ST -9 x 06 MM</x:v>
      </x:c>
      <x:c r="H18" s="45" t="n">
        <x:v>16</x:v>
      </x:c>
      <x:c r="I18" s="47" t="n">
        <x:v>1.3</x:v>
      </x:c>
      <x:c r="J18" s="49" t="n">
        <x:v>0.62</x:v>
      </x:c>
      <x:c r="K18" s="51" t="n">
        <x:v>7.9</x:v>
      </x:c>
      <x:c r="L18" s="55" t="n">
        <x:v>0.03</x:v>
      </x:c>
    </x:row>
    <x:row r="19">
      <x:c r="B19" s="37" t="str">
        <x:v>Presupuesto TF/26002193</x:v>
      </x:c>
      <x:c r="C19" s="38" t="str">
        <x:v>Comercial Santana Alemán y González, S.L. (Grupo SAG)</x:v>
      </x:c>
      <x:c r="D19" s="38" t="str">
        <x:v>19/06/2026</x:v>
      </x:c>
      <x:c r="E19" s="38" t="str">
        <x:v>ULL</x:v>
      </x:c>
      <x:c r="F19" s="38" t="str">
        <x:v>4001202</x:v>
      </x:c>
      <x:c r="G19" s="38" t="str">
        <x:v>ML. COQUILLA KAIFLEX ST 9 X 10 MM</x:v>
      </x:c>
      <x:c r="H19" s="45" t="n">
        <x:v>30</x:v>
      </x:c>
      <x:c r="I19" s="47" t="n">
        <x:v>1.46</x:v>
      </x:c>
      <x:c r="J19" s="49" t="n">
        <x:v>0.62</x:v>
      </x:c>
      <x:c r="K19" s="51" t="n">
        <x:v>16.64</x:v>
      </x:c>
      <x:c r="L19" s="55" t="n">
        <x:v>0.03</x:v>
      </x:c>
    </x:row>
    <x:row r="20">
      <x:c r="B20" s="37" t="str">
        <x:v>Presupuesto TF/26002193</x:v>
      </x:c>
      <x:c r="C20" s="38" t="str">
        <x:v>Comercial Santana Alemán y González, S.L. (Grupo SAG)</x:v>
      </x:c>
      <x:c r="D20" s="38" t="str">
        <x:v>19/06/2026</x:v>
      </x:c>
      <x:c r="E20" s="38" t="str">
        <x:v>ULL</x:v>
      </x:c>
      <x:c r="F20" s="38" t="str">
        <x:v>EVF012</x:v>
      </x:c>
      <x:c r="G20" s="38" t="str">
        <x:v>ML COQUILLA EVOCELL IT-FLEX C1 9X12 (1/2) 2 METROS</x:v>
      </x:c>
      <x:c r="H20" s="45" t="n">
        <x:v>16</x:v>
      </x:c>
      <x:c r="I20" s="47" t="n">
        <x:v>1.398</x:v>
      </x:c>
      <x:c r="J20" s="49" t="n">
        <x:v>0.62</x:v>
      </x:c>
      <x:c r="K20" s="51" t="n">
        <x:v>8.5</x:v>
      </x:c>
      <x:c r="L20" s="55" t="n">
        <x:v>0.03</x:v>
      </x:c>
    </x:row>
    <x:row r="21">
      <x:c r="B21" s="37" t="str">
        <x:v>Presupuesto TF/26002193</x:v>
      </x:c>
      <x:c r="C21" s="38" t="str">
        <x:v>Comercial Santana Alemán y González, S.L. (Grupo SAG)</x:v>
      </x:c>
      <x:c r="D21" s="38" t="str">
        <x:v>19/06/2026</x:v>
      </x:c>
      <x:c r="E21" s="38" t="str">
        <x:v>ULL</x:v>
      </x:c>
      <x:c r="F21" s="38" t="str">
        <x:v>4001269</x:v>
      </x:c>
      <x:c r="G21" s="38" t="str">
        <x:v>ML. COQUILLA KAIFLEX ST 19 X 15 MM (2mt)</x:v>
      </x:c>
      <x:c r="H21" s="45" t="n">
        <x:v>30</x:v>
      </x:c>
      <x:c r="I21" s="47" t="n">
        <x:v>6.07</x:v>
      </x:c>
      <x:c r="J21" s="49" t="n">
        <x:v>0.62</x:v>
      </x:c>
      <x:c r="K21" s="51" t="n">
        <x:v>69.2</x:v>
      </x:c>
      <x:c r="L21" s="55" t="n">
        <x:v>0.03</x:v>
      </x:c>
    </x:row>
    <x:row r="22">
      <x:c r="B22" s="37" t="str">
        <x:v>Presupuesto TF/26002193</x:v>
      </x:c>
      <x:c r="C22" s="38" t="str">
        <x:v>Comercial Santana Alemán y González, S.L. (Grupo SAG)</x:v>
      </x:c>
      <x:c r="D22" s="38" t="str">
        <x:v>19/06/2026</x:v>
      </x:c>
      <x:c r="E22" s="38" t="str">
        <x:v>ULL</x:v>
      </x:c>
      <x:c r="F22" s="38" t="str">
        <x:v>4001271</x:v>
      </x:c>
      <x:c r="G22" s="38" t="str">
        <x:v>ML. COQUILLA KAIFLEX ST 19 x 20 MM (2mt)</x:v>
      </x:c>
      <x:c r="H22" s="45" t="n">
        <x:v>6</x:v>
      </x:c>
      <x:c r="I22" s="47" t="n">
        <x:v>7.43</x:v>
      </x:c>
      <x:c r="J22" s="49" t="n">
        <x:v>0.62</x:v>
      </x:c>
      <x:c r="K22" s="51" t="n">
        <x:v>16.94</x:v>
      </x:c>
      <x:c r="L22" s="55" t="n">
        <x:v>0.03</x:v>
      </x:c>
    </x:row>
    <x:row r="23">
      <x:c r="B23" s="37" t="str">
        <x:v>Presupuesto TF/26002193</x:v>
      </x:c>
      <x:c r="C23" s="38" t="str">
        <x:v>Comercial Santana Alemán y González, S.L. (Grupo SAG)</x:v>
      </x:c>
      <x:c r="D23" s="38" t="str">
        <x:v>19/06/2026</x:v>
      </x:c>
      <x:c r="E23" s="38" t="str">
        <x:v>ULL</x:v>
      </x:c>
      <x:c r="F23" s="38" t="str">
        <x:v>AZX6CABLEBUS500</x:v>
      </x:c>
      <x:c r="G23" s="38" t="str">
        <x:v>ML CABLE BUS (2x0.5+2x0.22) "BOBINA DE 500 M"</x:v>
      </x:c>
      <x:c r="H23" s="45" t="n">
        <x:v>50</x:v>
      </x:c>
      <x:c r="I23" s="47" t="n">
        <x:v>0.96</x:v>
      </x:c>
      <x:c r="J23" s="49" t="n">
        <x:v>0.4</x:v>
      </x:c>
      <x:c r="K23" s="51" t="n">
        <x:v>28.8</x:v>
      </x:c>
      <x:c r="L23" s="55" t="n">
        <x:v>0.07</x:v>
      </x:c>
    </x:row>
    <x:row r="24">
      <x:c r="B24" s="37" t="str">
        <x:v>Factura FM/6785</x:v>
      </x:c>
      <x:c r="C24" s="38" t="str">
        <x:v>Comercial Santana Alemán y González, S.L. (Grupo SAG)</x:v>
      </x:c>
      <x:c r="D24" s="38" t="str">
        <x:v>30/04/2026</x:v>
      </x:c>
      <x:c r="E24" s="38" t="str">
        <x:v>Albarán NT/26.001.179</x:v>
      </x:c>
      <x:c r="F24" s="38" t="str">
        <x:v>DF-RRF-300100</x:v>
      </x:c>
      <x:c r="G24" s="38" t="str">
        <x:v>REJILLA DE LAMAS FIJAS A 45º RRF 300*100 (PERFORADA)</x:v>
      </x:c>
      <x:c r="H24" s="45" t="n">
        <x:v>2</x:v>
      </x:c>
      <x:c r="I24" s="47" t="n">
        <x:v>16.22</x:v>
      </x:c>
      <x:c r="J24" s="49" t="n">
        <x:v>0.4</x:v>
      </x:c>
      <x:c r="K24" s="51" t="n">
        <x:v>19.46</x:v>
      </x:c>
      <x:c r="L24" s="55" t="n">
        <x:v>0.07</x:v>
      </x:c>
    </x:row>
    <x:row r="25">
      <x:c r="B25" s="37" t="str">
        <x:v>Factura FM/6785</x:v>
      </x:c>
      <x:c r="C25" s="38" t="str">
        <x:v>Comercial Santana Alemán y González, S.L. (Grupo SAG)</x:v>
      </x:c>
      <x:c r="D25" s="38" t="str">
        <x:v>30/04/2026</x:v>
      </x:c>
      <x:c r="E25" s="38" t="str">
        <x:v>Albarán NT/26.001.179</x:v>
      </x:c>
      <x:c r="F25" s="38" t="str">
        <x:v>CG-MAN-100</x:v>
      </x:c>
      <x:c r="G25" s="38" t="str">
        <x:v>MANGUITO GALVANIZADO DE 100 MM</x:v>
      </x:c>
      <x:c r="H25" s="45" t="n">
        <x:v>4</x:v>
      </x:c>
      <x:c r="I25" s="47" t="n">
        <x:v>3.75</x:v>
      </x:c>
      <x:c r="J25" s="49" t="n">
        <x:v>0.5</x:v>
      </x:c>
      <x:c r="K25" s="51" t="n">
        <x:v>7.5</x:v>
      </x:c>
      <x:c r="L25" s="55" t="n">
        <x:v>0.07</x:v>
      </x:c>
    </x:row>
    <x:row r="26">
      <x:c r="B26" s="37" t="str">
        <x:v>Factura FM/6785</x:v>
      </x:c>
      <x:c r="C26" s="38" t="str">
        <x:v>Comercial Santana Alemán y González, S.L. (Grupo SAG)</x:v>
      </x:c>
      <x:c r="D26" s="38" t="str">
        <x:v>30/04/2026</x:v>
      </x:c>
      <x:c r="E26" s="38" t="str">
        <x:v>Albarán NT/26.001.179</x:v>
      </x:c>
      <x:c r="F26" s="38" t="str">
        <x:v>CF-REG-100</x:v>
      </x:c>
      <x:c r="G26" s="38" t="str">
        <x:v>COMPUERTA DE REGULACION CIRCULAR 100 MM</x:v>
      </x:c>
      <x:c r="H26" s="45" t="n">
        <x:v>2</x:v>
      </x:c>
      <x:c r="I26" s="47" t="n">
        <x:v>22.98</x:v>
      </x:c>
      <x:c r="J26" s="49" t="n">
        <x:v>0.4</x:v>
      </x:c>
      <x:c r="K26" s="51" t="n">
        <x:v>27.58</x:v>
      </x:c>
      <x:c r="L26" s="55" t="n">
        <x:v>0.07</x:v>
      </x:c>
    </x:row>
    <x:row r="27">
      <x:c r="B27" s="37" t="str">
        <x:v>Factura FM/6785</x:v>
      </x:c>
      <x:c r="C27" s="38" t="str">
        <x:v>Comercial Santana Alemán y González, S.L. (Grupo SAG)</x:v>
      </x:c>
      <x:c r="D27" s="38" t="str">
        <x:v>30/04/2026</x:v>
      </x:c>
      <x:c r="E27" s="38" t="str">
        <x:v>Albarán NT/26.001.179</x:v>
      </x:c>
      <x:c r="F27" s="38" t="str">
        <x:v>15580100</x:v>
      </x:c>
      <x:c r="G27" s="38" t="str">
        <x:v>ABRAZ. RM8+M10-100 (3 1/2")</x:v>
      </x:c>
      <x:c r="H27" s="45" t="n">
        <x:v>4</x:v>
      </x:c>
      <x:c r="I27" s="47" t="n">
        <x:v>2.74</x:v>
      </x:c>
      <x:c r="J27" s="49" t="n">
        <x:v>0.5</x:v>
      </x:c>
      <x:c r="K27" s="51" t="n">
        <x:v>5.48</x:v>
      </x:c>
      <x:c r="L27" s="55" t="n">
        <x:v>0.07</x:v>
      </x:c>
    </x:row>
    <x:row r="28">
      <x:c r="B28" s="37" t="str">
        <x:v>Factura FM/6785</x:v>
      </x:c>
      <x:c r="C28" s="38" t="str">
        <x:v>Comercial Santana Alemán y González, S.L. (Grupo SAG)</x:v>
      </x:c>
      <x:c r="D28" s="38" t="str">
        <x:v>30/04/2026</x:v>
      </x:c>
      <x:c r="E28" s="38" t="str">
        <x:v>Albarán NT/26.001.179</x:v>
      </x:c>
      <x:c r="F28" s="38" t="str">
        <x:v>CG-INJ90-100100</x:v>
      </x:c>
      <x:c r="G28" s="38" t="str">
        <x:v>INJERTO DE 90° 100/100 MM</x:v>
      </x:c>
      <x:c r="H28" s="45" t="n">
        <x:v>2</x:v>
      </x:c>
      <x:c r="I28" s="47" t="n">
        <x:v>4.51</x:v>
      </x:c>
      <x:c r="J28" s="49" t="n">
        <x:v>0.5</x:v>
      </x:c>
      <x:c r="K28" s="51" t="n">
        <x:v>4.51</x:v>
      </x:c>
      <x:c r="L28" s="55" t="n">
        <x:v>0.07</x:v>
      </x:c>
    </x:row>
    <x:row r="29">
      <x:c r="B29" s="37" t="str">
        <x:v>Factura FM/6941</x:v>
      </x:c>
      <x:c r="C29" s="38" t="str">
        <x:v>Comercial Santana Alemán y González, S.L. (Grupo SAG)</x:v>
      </x:c>
      <x:c r="D29" s="38" t="str">
        <x:v>31/05/2026</x:v>
      </x:c>
      <x:c r="E29" s="38" t="str">
        <x:v>Albarán NT/26.001.255</x:v>
      </x:c>
      <x:c r="F29" s="38" t="str">
        <x:v>CG-COD90-250</x:v>
      </x:c>
      <x:c r="G29" s="38" t="str">
        <x:v>CODO GALVANIZADO 90° 250 MM</x:v>
      </x:c>
      <x:c r="H29" s="45" t="n">
        <x:v>1</x:v>
      </x:c>
      <x:c r="I29" s="47" t="n">
        <x:v>38.5</x:v>
      </x:c>
      <x:c r="J29" s="49" t="n">
        <x:v>0.5</x:v>
      </x:c>
      <x:c r="K29" s="51" t="n">
        <x:v>19.25</x:v>
      </x:c>
      <x:c r="L29" s="55" t="n">
        <x:v>0.07</x:v>
      </x:c>
    </x:row>
    <x:row r="30">
      <x:c r="B30" s="37" t="str">
        <x:v>Factura FM/6941</x:v>
      </x:c>
      <x:c r="C30" s="38" t="str">
        <x:v>Comercial Santana Alemán y González, S.L. (Grupo SAG)</x:v>
      </x:c>
      <x:c r="D30" s="38" t="str">
        <x:v>31/05/2026</x:v>
      </x:c>
      <x:c r="E30" s="38" t="str">
        <x:v>Albarán NT/26.001.262</x:v>
      </x:c>
      <x:c r="F30" s="38" t="str">
        <x:v>CG-CRN-0250</x:v>
      </x:c>
      <x:c r="G30" s="38" t="str">
        <x:v>CORONA DE 250 MM</x:v>
      </x:c>
      <x:c r="H30" s="45" t="n">
        <x:v>3</x:v>
      </x:c>
      <x:c r="I30" s="47" t="n">
        <x:v>7.01</x:v>
      </x:c>
      <x:c r="J30" s="49" t="n">
        <x:v>0.5</x:v>
      </x:c>
      <x:c r="K30" s="51" t="n">
        <x:v>10.52</x:v>
      </x:c>
      <x:c r="L30" s="55" t="n">
        <x:v>0.07</x:v>
      </x:c>
    </x:row>
    <x:row r="31">
      <x:c r="B31" s="37" t="str">
        <x:v>Factura FM/6941</x:v>
      </x:c>
      <x:c r="C31" s="38" t="str">
        <x:v>Comercial Santana Alemán y González, S.L. (Grupo SAG)</x:v>
      </x:c>
      <x:c r="D31" s="38" t="str">
        <x:v>31/05/2026</x:v>
      </x:c>
      <x:c r="E31" s="38" t="str">
        <x:v>Albarán NT/26.001.262</x:v>
      </x:c>
      <x:c r="F31" s="38" t="str">
        <x:v>649017</x:v>
      </x:c>
      <x:c r="G31" s="38" t="str">
        <x:v>JUEGO SOPORTE INSTALPACK S-40 AMORTIGUADOR SUELO</x:v>
      </x:c>
      <x:c r="H31" s="45" t="n">
        <x:v>1</x:v>
      </x:c>
      <x:c r="I31" s="47" t="n">
        <x:v>3.9</x:v>
      </x:c>
      <x:c r="J31" s="49" t="n">
        <x:v>0.4</x:v>
      </x:c>
      <x:c r="K31" s="51" t="n">
        <x:v>2.34</x:v>
      </x:c>
      <x:c r="L31" s="55" t="n">
        <x:v>0.07</x:v>
      </x:c>
    </x:row>
    <x:row r="32">
      <x:c r="B32" s="37" t="str">
        <x:v>Factura FM/6941</x:v>
      </x:c>
      <x:c r="C32" s="38" t="str">
        <x:v>Comercial Santana Alemán y González, S.L. (Grupo SAG)</x:v>
      </x:c>
      <x:c r="D32" s="38" t="str">
        <x:v>31/05/2026</x:v>
      </x:c>
      <x:c r="E32" s="38" t="str">
        <x:v>Albarán NT/26.001.424 (LA BARANDA)</x:v>
      </x:c>
      <x:c r="F32" s="38" t="str">
        <x:v>S18F2S1</x:v>
      </x:c>
      <x:c r="G32" s="38" t="str">
        <x:v>CONJUNTO TCL WIFI ELITE MOD. S18F2S1</x:v>
      </x:c>
      <x:c r="H32" s="45" t="n">
        <x:v>2</x:v>
      </x:c>
      <x:c r="I32" s="47" t="n">
        <x:v>485</x:v>
      </x:c>
      <x:c r="J32" s="49" t="n">
        <x:v>0</x:v>
      </x:c>
      <x:c r="K32" s="51" t="n">
        <x:v>970</x:v>
      </x:c>
      <x:c r="L32" s="55" t="n">
        <x:v>0.07</x:v>
      </x:c>
    </x:row>
    <x:row r="33">
      <x:c r="B33" s="37" t="str">
        <x:v>Factura FM/6941</x:v>
      </x:c>
      <x:c r="C33" s="38" t="str">
        <x:v>Comercial Santana Alemán y González, S.L. (Grupo SAG)</x:v>
      </x:c>
      <x:c r="D33" s="38" t="str">
        <x:v>31/05/2026</x:v>
      </x:c>
      <x:c r="E33" s="38" t="str">
        <x:v>Albarán NT/26.001.424 (LA BARANDA)</x:v>
      </x:c>
      <x:c r="F33" s="38" t="str">
        <x:v>4002053</x:v>
      </x:c>
      <x:c r="G33" s="38" t="str">
        <x:v>ROLLO TUBERIA COBRE PREAISLADO BITUBO 1/4 X 3/8 20 M.</x:v>
      </x:c>
      <x:c r="H33" s="45" t="n">
        <x:v>1</x:v>
      </x:c>
      <x:c r="I33" s="47" t="n">
        <x:v>110</x:v>
      </x:c>
      <x:c r="J33" s="49" t="n">
        <x:v>0</x:v>
      </x:c>
      <x:c r="K33" s="51" t="n">
        <x:v>110</x:v>
      </x:c>
      <x:c r="L33" s="55" t="n">
        <x:v>0.07</x:v>
      </x:c>
    </x:row>
    <x:row r="34">
      <x:c r="B34" s="37" t="str">
        <x:v>Factura FM/6941</x:v>
      </x:c>
      <x:c r="C34" s="38" t="str">
        <x:v>Comercial Santana Alemán y González, S.L. (Grupo SAG)</x:v>
      </x:c>
      <x:c r="D34" s="38" t="str">
        <x:v>31/05/2026</x:v>
      </x:c>
      <x:c r="E34" s="38" t="str">
        <x:v>Albarán NT/26.001.335 (TABACO BARATO)</x:v>
      </x:c>
      <x:c r="F34" s="38" t="str">
        <x:v>CG-INJ90-250100</x:v>
      </x:c>
      <x:c r="G34" s="38" t="str">
        <x:v>INJERTO DE 90° 250/100 MM</x:v>
      </x:c>
      <x:c r="H34" s="45" t="n">
        <x:v>2</x:v>
      </x:c>
      <x:c r="I34" s="47" t="n">
        <x:v>9.3</x:v>
      </x:c>
      <x:c r="J34" s="49" t="n">
        <x:v>0</x:v>
      </x:c>
      <x:c r="K34" s="51" t="n">
        <x:v>18.6</x:v>
      </x:c>
      <x:c r="L34" s="55" t="n">
        <x:v>0.07</x:v>
      </x:c>
    </x:row>
    <x:row r="35">
      <x:c r="B35" s="37" t="str">
        <x:v>Factura FM/6941</x:v>
      </x:c>
      <x:c r="C35" s="38" t="str">
        <x:v>Comercial Santana Alemán y González, S.L. (Grupo SAG)</x:v>
      </x:c>
      <x:c r="D35" s="38" t="str">
        <x:v>31/05/2026</x:v>
      </x:c>
      <x:c r="E35" s="38" t="str">
        <x:v>Albarán NT/26.001.335 (TABACO BARATO)</x:v>
      </x:c>
      <x:c r="F35" s="38" t="str">
        <x:v>CG-INJ90-200100</x:v>
      </x:c>
      <x:c r="G35" s="38" t="str">
        <x:v>INJERTO DE 90° 200/100 MM</x:v>
      </x:c>
      <x:c r="H35" s="45" t="n">
        <x:v>2</x:v>
      </x:c>
      <x:c r="I35" s="47" t="n">
        <x:v>4.52</x:v>
      </x:c>
      <x:c r="J35" s="49" t="n">
        <x:v>0.5</x:v>
      </x:c>
      <x:c r="K35" s="51" t="n">
        <x:v>9.04</x:v>
      </x:c>
      <x:c r="L35" s="55" t="n">
        <x:v>0.07</x:v>
      </x:c>
    </x:row>
    <x:row r="36">
      <x:c r="B36" s="37" t="str">
        <x:v>Factura FM/6941</x:v>
      </x:c>
      <x:c r="C36" s="38" t="str">
        <x:v>Comercial Santana Alemán y González, S.L. (Grupo SAG)</x:v>
      </x:c>
      <x:c r="D36" s="38" t="str">
        <x:v>31/05/2026</x:v>
      </x:c>
      <x:c r="E36" s="38" t="str">
        <x:v>Albarán NT/26.001.335 (TABACO BARATO)</x:v>
      </x:c>
      <x:c r="F36" s="38" t="str">
        <x:v>CG-CF-00250</x:v>
      </x:c>
      <x:c r="G36" s="38" t="str">
        <x:v>CORTE FLAUTA DE 250 MM</x:v>
      </x:c>
      <x:c r="H36" s="45" t="n">
        <x:v>1</x:v>
      </x:c>
      <x:c r="I36" s="47" t="n">
        <x:v>24.27</x:v>
      </x:c>
      <x:c r="J36" s="49" t="n">
        <x:v>0.5</x:v>
      </x:c>
      <x:c r="K36" s="51" t="n">
        <x:v>12.14</x:v>
      </x:c>
      <x:c r="L36" s="55" t="n">
        <x:v>0.07</x:v>
      </x:c>
    </x:row>
    <x:row r="37">
      <x:c r="B37" s="37" t="str">
        <x:v>Factura FM/6941</x:v>
      </x:c>
      <x:c r="C37" s="38" t="str">
        <x:v>Comercial Santana Alemán y González, S.L. (Grupo SAG)</x:v>
      </x:c>
      <x:c r="D37" s="38" t="str">
        <x:v>31/05/2026</x:v>
      </x:c>
      <x:c r="E37" s="38" t="str">
        <x:v>Albarán NT/26.001.278 (Devolución)</x:v>
      </x:c>
      <x:c r="F37" s="38" t="str">
        <x:v>TAPA-9/9</x:v>
      </x:c>
      <x:c r="G37" s="38" t="str">
        <x:v>TAPA ASPIRACION 9/9 (460*430 MM)</x:v>
      </x:c>
      <x:c r="H37" s="45" t="n">
        <x:v>1</x:v>
      </x:c>
      <x:c r="I37" s="47" t="n">
        <x:v>45.1</x:v>
      </x:c>
      <x:c r="J37" s="49" t="n">
        <x:v>0.5</x:v>
      </x:c>
      <x:c r="K37" s="51" t="n">
        <x:v>22.55</x:v>
      </x:c>
      <x:c r="L37" s="55" t="n">
        <x:v>0.07</x:v>
      </x:c>
    </x:row>
    <x:row r="38">
      <x:c r="B38" s="37" t="str">
        <x:v>Factura FM/6941</x:v>
      </x:c>
      <x:c r="C38" s="38" t="str">
        <x:v>Comercial Santana Alemán y González, S.L. (Grupo SAG)</x:v>
      </x:c>
      <x:c r="D38" s="38" t="str">
        <x:v>31/05/2026</x:v>
      </x:c>
      <x:c r="E38" s="38" t="str">
        <x:v>Albarán NT/26.001.278 (Devolución)</x:v>
      </x:c>
      <x:c r="F38" s="38" t="str">
        <x:v>DF-RRF-500100</x:v>
      </x:c>
      <x:c r="G38" s="38" t="str">
        <x:v>REJILLA DE LAMAS FIJAS A 45 RRF 500*100 (PERFORADA)</x:v>
      </x:c>
      <x:c r="H38" s="45" t="n">
        <x:v>1</x:v>
      </x:c>
      <x:c r="I38" s="47" t="n">
        <x:v>21.26</x:v>
      </x:c>
      <x:c r="J38" s="49" t="n">
        <x:v>0.4</x:v>
      </x:c>
      <x:c r="K38" s="51" t="n">
        <x:v>12.76</x:v>
      </x:c>
      <x:c r="L38" s="55" t="n">
        <x:v>0.07</x:v>
      </x:c>
    </x:row>
    <x:row r="39">
      <x:c r="B39" s="37" t="str">
        <x:v>Factura FM/6941</x:v>
      </x:c>
      <x:c r="C39" s="38" t="str">
        <x:v>Comercial Santana Alemán y González, S.L. (Grupo SAG)</x:v>
      </x:c>
      <x:c r="D39" s="38" t="str">
        <x:v>31/05/2026</x:v>
      </x:c>
      <x:c r="E39" s="38" t="str">
        <x:v>Albarán NT/26.001.278 (Devolución)</x:v>
      </x:c>
      <x:c r="F39" s="38" t="str">
        <x:v>DF-RR-500100</x:v>
      </x:c>
      <x:c r="G39" s="38" t="str">
        <x:v>REGULADOR DE REJILLA RR 500*100 MM</x:v>
      </x:c>
      <x:c r="H39" s="45" t="n">
        <x:v>1</x:v>
      </x:c>
      <x:c r="I39" s="47" t="n">
        <x:v>23.96</x:v>
      </x:c>
      <x:c r="J39" s="49" t="n">
        <x:v>0.4</x:v>
      </x:c>
      <x:c r="K39" s="51" t="n">
        <x:v>14.38</x:v>
      </x:c>
      <x:c r="L39" s="55" t="n">
        <x:v>0.07</x:v>
      </x:c>
    </x:row>
    <x:row r="40">
      <x:c r="B40" s="37" t="str">
        <x:v>Factura FM/6941</x:v>
      </x:c>
      <x:c r="C40" s="38" t="str">
        <x:v>Comercial Santana Alemán y González, S.L. (Grupo SAG)</x:v>
      </x:c>
      <x:c r="D40" s="38" t="str">
        <x:v>31/05/2026</x:v>
      </x:c>
      <x:c r="E40" s="38" t="str">
        <x:v>Albarán NT/26.001.278 (Devolución)</x:v>
      </x:c>
      <x:c r="F40" s="38" t="str">
        <x:v>CG-PF-CADTM9/9</x:v>
      </x:c>
      <x:c r="G40" s="38" t="str">
        <x:v>PICO FLAUTA CADTM-9/9 300*260 MM</x:v>
      </x:c>
      <x:c r="H40" s="45" t="n">
        <x:v>-1</x:v>
      </x:c>
      <x:c r="I40" s="47" t="n">
        <x:v>67.6</x:v>
      </x:c>
      <x:c r="J40" s="49" t="n">
        <x:v>0.5</x:v>
      </x:c>
      <x:c r="K40" s="51" t="n">
        <x:v>-33.8</x:v>
      </x:c>
      <x:c r="L40" s="55" t="n">
        <x:v>0.07</x:v>
      </x:c>
    </x:row>
    <x:row r="41">
      <x:c r="B41" s="37" t="str">
        <x:v>Factura FM/6941</x:v>
      </x:c>
      <x:c r="C41" s="38" t="str">
        <x:v>Comercial Santana Alemán y González, S.L. (Grupo SAG)</x:v>
      </x:c>
      <x:c r="D41" s="38" t="str">
        <x:v>31/05/2026</x:v>
      </x:c>
      <x:c r="E41" s="38" t="str">
        <x:v>Albarán NT/26.001.278 (Devolución)</x:v>
      </x:c>
      <x:c r="F41" s="38" t="str">
        <x:v>CG-MAN-250</x:v>
      </x:c>
      <x:c r="G41" s="38" t="str">
        <x:v>MANGUITO GALVANIZADO DE 250 MM</x:v>
      </x:c>
      <x:c r="H41" s="45" t="n">
        <x:v>-1</x:v>
      </x:c>
      <x:c r="I41" s="47" t="n">
        <x:v>7.745</x:v>
      </x:c>
      <x:c r="J41" s="49" t="n">
        <x:v>0.5</x:v>
      </x:c>
      <x:c r="K41" s="51" t="n">
        <x:v>-3.87</x:v>
      </x:c>
      <x:c r="L41" s="55" t="n">
        <x:v>0.07</x:v>
      </x:c>
    </x:row>
    <x:row r="42">
      <x:c r="B42" s="37" t="str">
        <x:v>Factura FM/6941</x:v>
      </x:c>
      <x:c r="C42" s="38" t="str">
        <x:v>Comercial Santana Alemán y González, S.L. (Grupo SAG)</x:v>
      </x:c>
      <x:c r="D42" s="38" t="str">
        <x:v>31/05/2026</x:v>
      </x:c>
      <x:c r="E42" s="38" t="str">
        <x:v>Albarán NT/26.001.278 (Devolución)</x:v>
      </x:c>
      <x:c r="F42" s="38" t="str">
        <x:v>DF-MR-00100</x:v>
      </x:c>
      <x:c r="G42" s="38" t="str">
        <x:v>LISTON METALICO PARA REJILLA MOD. MR-100</x:v>
      </x:c>
      <x:c r="H42" s="45" t="n">
        <x:v>-8</x:v>
      </x:c>
      <x:c r="I42" s="47" t="n">
        <x:v>0.88</x:v>
      </x:c>
      <x:c r="J42" s="49" t="n">
        <x:v>0.4</x:v>
      </x:c>
      <x:c r="K42" s="51" t="n">
        <x:v>-4.22</x:v>
      </x:c>
      <x:c r="L42" s="55" t="n">
        <x:v>0.07</x:v>
      </x:c>
    </x:row>
    <x:row r="43">
      <x:c r="B43" s="37" t="str">
        <x:v>Factura FM/6941</x:v>
      </x:c>
      <x:c r="C43" s="38" t="str">
        <x:v>Comercial Santana Alemán y González, S.L. (Grupo SAG)</x:v>
      </x:c>
      <x:c r="D43" s="38" t="str">
        <x:v>31/05/2026</x:v>
      </x:c>
      <x:c r="E43" s="38" t="str">
        <x:v>Albarán NT/26.001.278 (Devolución)</x:v>
      </x:c>
      <x:c r="F43" s="38" t="str">
        <x:v>15580250</x:v>
      </x:c>
      <x:c r="G43" s="38" t="str">
        <x:v>ABRAZ. RM8+M10-250</x:v>
      </x:c>
      <x:c r="H43" s="45" t="n">
        <x:v>-4</x:v>
      </x:c>
      <x:c r="I43" s="47" t="n">
        <x:v>3.77</x:v>
      </x:c>
      <x:c r="J43" s="49" t="n">
        <x:v>0.55</x:v>
      </x:c>
      <x:c r="K43" s="51" t="n">
        <x:v>-6.79</x:v>
      </x:c>
      <x:c r="L43" s="55" t="n">
        <x:v>0.07</x:v>
      </x:c>
    </x:row>
    <x:row r="44">
      <x:c r="B44" s="37" t="str">
        <x:v>Factura FM/6941</x:v>
      </x:c>
      <x:c r="C44" s="38" t="str">
        <x:v>Comercial Santana Alemán y González, S.L. (Grupo SAG)</x:v>
      </x:c>
      <x:c r="D44" s="38" t="str">
        <x:v>31/05/2026</x:v>
      </x:c>
      <x:c r="E44" s="38" t="str">
        <x:v>Albarán NT/26.001.238 (TABACO BARATO)</x:v>
      </x:c>
      <x:c r="F44" s="38" t="str">
        <x:v>FI-BO-300300300</x:v>
      </x:c>
      <x:c r="G44" s="38" t="str">
        <x:v>CAJON PORTAFILTRO DE 300*300*300</x:v>
      </x:c>
      <x:c r="H44" s="45" t="n">
        <x:v>1</x:v>
      </x:c>
      <x:c r="I44" s="47" t="n">
        <x:v>136</x:v>
      </x:c>
      <x:c r="J44" s="49" t="n">
        <x:v>0.4</x:v>
      </x:c>
      <x:c r="K44" s="51" t="n">
        <x:v>81.6</x:v>
      </x:c>
      <x:c r="L44" s="55" t="n">
        <x:v>0.07</x:v>
      </x:c>
    </x:row>
    <x:row r="45">
      <x:c r="B45" s="37" t="str">
        <x:v>Factura FM/6941</x:v>
      </x:c>
      <x:c r="C45" s="38" t="str">
        <x:v>Comercial Santana Alemán y González, S.L. (Grupo SAG)</x:v>
      </x:c>
      <x:c r="D45" s="38" t="str">
        <x:v>31/05/2026</x:v>
      </x:c>
      <x:c r="E45" s="38" t="str">
        <x:v>Albarán NT/26.001.238 (TABACO BARATO)</x:v>
      </x:c>
      <x:c r="F45" s="38" t="str">
        <x:v>FI-SVM292948-F6</x:v>
      </x:c>
      <x:c r="G45" s="38" t="str">
        <x:v>FILTRO MARCO MET. MINIPLEGADO SERVIMINI M-2R F6 290*290*48 MM</x:v>
      </x:c>
      <x:c r="H45" s="45" t="n">
        <x:v>1</x:v>
      </x:c>
      <x:c r="I45" s="47" t="n">
        <x:v>64.23</x:v>
      </x:c>
      <x:c r="J45" s="49" t="n">
        <x:v>0.4</x:v>
      </x:c>
      <x:c r="K45" s="51" t="n">
        <x:v>38.54</x:v>
      </x:c>
      <x:c r="L45" s="55" t="n">
        <x:v>0.07</x:v>
      </x:c>
    </x:row>
    <x:row r="46">
      <x:c r="B46" s="37" t="str">
        <x:v>Factura FM/6941</x:v>
      </x:c>
      <x:c r="C46" s="38" t="str">
        <x:v>Comercial Santana Alemán y González, S.L. (Grupo SAG)</x:v>
      </x:c>
      <x:c r="D46" s="38" t="str">
        <x:v>31/05/2026</x:v>
      </x:c>
      <x:c r="E46" s="38" t="str">
        <x:v>Albarán NT/26.001.238 (TABACO BARATO)</x:v>
      </x:c>
      <x:c r="F46" s="38" t="str">
        <x:v>FI-SVM292948-F8</x:v>
      </x:c>
      <x:c r="G46" s="38" t="str">
        <x:v>FILTRO MARCO MET. MINIPLEGADO SERVIMINI M-2R F8 290*290*48 MM</x:v>
      </x:c>
      <x:c r="H46" s="45" t="n">
        <x:v>1</x:v>
      </x:c>
      <x:c r="I46" s="47" t="n">
        <x:v>64.23</x:v>
      </x:c>
      <x:c r="J46" s="49" t="n">
        <x:v>0.4</x:v>
      </x:c>
      <x:c r="K46" s="51" t="n">
        <x:v>38.54</x:v>
      </x:c>
      <x:c r="L46" s="55" t="n">
        <x:v>0.07</x:v>
      </x:c>
    </x:row>
    <x:row r="47">
      <x:c r="B47" s="37" t="str">
        <x:v>Factura FM/6941</x:v>
      </x:c>
      <x:c r="C47" s="38" t="str">
        <x:v>Comercial Santana Alemán y González, S.L. (Grupo SAG)</x:v>
      </x:c>
      <x:c r="D47" s="38" t="str">
        <x:v>31/05/2026</x:v>
      </x:c>
      <x:c r="E47" s="38" t="str">
        <x:v>Albarán NT/26.001.238 (TABACO BARATO)</x:v>
      </x:c>
      <x:c r="F47" s="38" t="str">
        <x:v>CG-COD90-250</x:v>
      </x:c>
      <x:c r="G47" s="38" t="str">
        <x:v>CODO GALVANIZADO 90° 250 MM</x:v>
      </x:c>
      <x:c r="H47" s="45" t="n">
        <x:v>3</x:v>
      </x:c>
      <x:c r="I47" s="47" t="n">
        <x:v>38.5</x:v>
      </x:c>
      <x:c r="J47" s="49" t="n">
        <x:v>0.5</x:v>
      </x:c>
      <x:c r="K47" s="51" t="n">
        <x:v>57.75</x:v>
      </x:c>
      <x:c r="L47" s="55" t="n">
        <x:v>0.07</x:v>
      </x:c>
    </x:row>
    <x:row r="48">
      <x:c r="B48" s="37" t="str">
        <x:v>Factura FM/6941</x:v>
      </x:c>
      <x:c r="C48" s="38" t="str">
        <x:v>Comercial Santana Alemán y González, S.L. (Grupo SAG)</x:v>
      </x:c>
      <x:c r="D48" s="38" t="str">
        <x:v>31/05/2026</x:v>
      </x:c>
      <x:c r="E48" s="38" t="str">
        <x:v>Albarán NT/26.001.238 (TABACO BARATO)</x:v>
      </x:c>
      <x:c r="F48" s="38" t="str">
        <x:v>CG-MAN-250</x:v>
      </x:c>
      <x:c r="G48" s="38" t="str">
        <x:v>MANGUITO GALVANIZADO DE 250 MM</x:v>
      </x:c>
      <x:c r="H48" s="45" t="n">
        <x:v>4</x:v>
      </x:c>
      <x:c r="I48" s="47" t="n">
        <x:v>7.745</x:v>
      </x:c>
      <x:c r="J48" s="49" t="n">
        <x:v>0.5</x:v>
      </x:c>
      <x:c r="K48" s="51" t="n">
        <x:v>15.49</x:v>
      </x:c>
      <x:c r="L48" s="55" t="n">
        <x:v>0.07</x:v>
      </x:c>
    </x:row>
    <x:row r="49">
      <x:c r="B49" s="37" t="str">
        <x:v>Factura FM/6941</x:v>
      </x:c>
      <x:c r="C49" s="38" t="str">
        <x:v>Comercial Santana Alemán y González, S.L. (Grupo SAG)</x:v>
      </x:c>
      <x:c r="D49" s="38" t="str">
        <x:v>31/05/2026</x:v>
      </x:c>
      <x:c r="E49" s="38" t="str">
        <x:v>Albarán NT/26.001.238 (TABACO BARATO)</x:v>
      </x:c>
      <x:c r="F49" s="38" t="str">
        <x:v>15580250</x:v>
      </x:c>
      <x:c r="G49" s="38" t="str">
        <x:v>ABRAZ. RM8+M10-250</x:v>
      </x:c>
      <x:c r="H49" s="45" t="n">
        <x:v>6</x:v>
      </x:c>
      <x:c r="I49" s="47" t="n">
        <x:v>3.77</x:v>
      </x:c>
      <x:c r="J49" s="49" t="n">
        <x:v>0.55</x:v>
      </x:c>
      <x:c r="K49" s="51" t="n">
        <x:v>10.18</x:v>
      </x:c>
      <x:c r="L49" s="55" t="n">
        <x:v>0.07</x:v>
      </x:c>
    </x:row>
    <x:row r="50">
      <x:c r="B50" s="37" t="str">
        <x:v>Factura FM/6941</x:v>
      </x:c>
      <x:c r="C50" s="38" t="str">
        <x:v>Comercial Santana Alemán y González, S.L. (Grupo SAG)</x:v>
      </x:c>
      <x:c r="D50" s="38" t="str">
        <x:v>31/05/2026</x:v>
      </x:c>
      <x:c r="E50" s="38" t="str">
        <x:v>Albarán NT/26.001.238 (TABACO BARATO)</x:v>
      </x:c>
      <x:c r="F50" s="38" t="str">
        <x:v>CG-RD-250200</x:v>
      </x:c>
      <x:c r="G50" s="38" t="str">
        <x:v>REDUCCION GALVANIZADA DE 250 A 200 MM</x:v>
      </x:c>
      <x:c r="H50" s="45" t="n">
        <x:v>1</x:v>
      </x:c>
      <x:c r="I50" s="47" t="n">
        <x:v>31.34</x:v>
      </x:c>
      <x:c r="J50" s="49" t="n">
        <x:v>0.5</x:v>
      </x:c>
      <x:c r="K50" s="51" t="n">
        <x:v>15.67</x:v>
      </x:c>
      <x:c r="L50" s="55" t="n">
        <x:v>0.07</x:v>
      </x:c>
    </x:row>
    <x:row r="51">
      <x:c r="B51" s="37" t="str">
        <x:v>Factura FM/6941</x:v>
      </x:c>
      <x:c r="C51" s="38" t="str">
        <x:v>Comercial Santana Alemán y González, S.L. (Grupo SAG)</x:v>
      </x:c>
      <x:c r="D51" s="38" t="str">
        <x:v>31/05/2026</x:v>
      </x:c>
      <x:c r="E51" s="38" t="str">
        <x:v>Albarán NT/26.001.238 (TABACO BARATO)</x:v>
      </x:c>
      <x:c r="F51" s="38" t="str">
        <x:v>CG-MAN-200</x:v>
      </x:c>
      <x:c r="G51" s="38" t="str">
        <x:v>MANGUITO GALVANIZADO DE 200 MM</x:v>
      </x:c>
      <x:c r="H51" s="45" t="n">
        <x:v>2</x:v>
      </x:c>
      <x:c r="I51" s="47" t="n">
        <x:v>5.998</x:v>
      </x:c>
      <x:c r="J51" s="49" t="n">
        <x:v>0.5</x:v>
      </x:c>
      <x:c r="K51" s="51" t="n">
        <x:v>6</x:v>
      </x:c>
      <x:c r="L51" s="55" t="n">
        <x:v>0.07</x:v>
      </x:c>
    </x:row>
    <x:row r="52">
      <x:c r="B52" s="37" t="str">
        <x:v>Factura FM/6941</x:v>
      </x:c>
      <x:c r="C52" s="38" t="str">
        <x:v>Comercial Santana Alemán y González, S.L. (Grupo SAG)</x:v>
      </x:c>
      <x:c r="D52" s="38" t="str">
        <x:v>31/05/2026</x:v>
      </x:c>
      <x:c r="E52" s="38" t="str">
        <x:v>Albarán NT/26.001.238 (TABACO BARATO)</x:v>
      </x:c>
      <x:c r="F52" s="38" t="str">
        <x:v>CG-TAPA-200</x:v>
      </x:c>
      <x:c r="G52" s="38" t="str">
        <x:v>TAPA GALVANIZADA DE 200 MM</x:v>
      </x:c>
      <x:c r="H52" s="45" t="n">
        <x:v>1</x:v>
      </x:c>
      <x:c r="I52" s="47" t="n">
        <x:v>10.88</x:v>
      </x:c>
      <x:c r="J52" s="49" t="n">
        <x:v>0.5</x:v>
      </x:c>
      <x:c r="K52" s="51" t="n">
        <x:v>5.44</x:v>
      </x:c>
      <x:c r="L52" s="55" t="n">
        <x:v>0.07</x:v>
      </x:c>
    </x:row>
    <x:row r="53">
      <x:c r="B53" s="37" t="str">
        <x:v>Factura FM/6941</x:v>
      </x:c>
      <x:c r="C53" s="38" t="str">
        <x:v>Comercial Santana Alemán y González, S.L. (Grupo SAG)</x:v>
      </x:c>
      <x:c r="D53" s="38" t="str">
        <x:v>31/05/2026</x:v>
      </x:c>
      <x:c r="E53" s="38" t="str">
        <x:v>Albarán NT/26.001.238 (TABACO BARATO)</x:v>
      </x:c>
      <x:c r="F53" s="38" t="str">
        <x:v>15580200</x:v>
      </x:c>
      <x:c r="G53" s="38" t="str">
        <x:v>ABRAZ. RM8+M10-200</x:v>
      </x:c>
      <x:c r="H53" s="45" t="n">
        <x:v>5</x:v>
      </x:c>
      <x:c r="I53" s="47" t="n">
        <x:v>3.08</x:v>
      </x:c>
      <x:c r="J53" s="49" t="n">
        <x:v>0.55</x:v>
      </x:c>
      <x:c r="K53" s="51" t="n">
        <x:v>6.93</x:v>
      </x:c>
      <x:c r="L53" s="55" t="n">
        <x:v>0.07</x:v>
      </x:c>
    </x:row>
    <x:row r="54">
      <x:c r="B54" s="37" t="str">
        <x:v>Factura FM/6941</x:v>
      </x:c>
      <x:c r="C54" s="38" t="str">
        <x:v>Comercial Santana Alemán y González, S.L. (Grupo SAG)</x:v>
      </x:c>
      <x:c r="D54" s="38" t="str">
        <x:v>31/05/2026</x:v>
      </x:c>
      <x:c r="E54" s="38" t="str">
        <x:v>Albarán NT/26.001.238 (TABACO BARATO)</x:v>
      </x:c>
      <x:c r="F54" s="38" t="str">
        <x:v>CG-TF-0102</x:v>
      </x:c>
      <x:c r="G54" s="38" t="str">
        <x:v>ML TUBO FLEXIBLE SIN AISLAR DE 102 MM (10 ML)</x:v>
      </x:c>
      <x:c r="H54" s="45" t="n">
        <x:v>10</x:v>
      </x:c>
      <x:c r="I54" s="47" t="n">
        <x:v>1.9</x:v>
      </x:c>
      <x:c r="J54" s="49" t="n">
        <x:v>0.5</x:v>
      </x:c>
      <x:c r="K54" s="51" t="n">
        <x:v>9.5</x:v>
      </x:c>
      <x:c r="L54" s="55" t="n">
        <x:v>0.07</x:v>
      </x:c>
    </x:row>
    <x:row r="55">
      <x:c r="B55" s="37" t="str">
        <x:v>Factura FM/6941</x:v>
      </x:c>
      <x:c r="C55" s="38" t="str">
        <x:v>Comercial Santana Alemán y González, S.L. (Grupo SAG)</x:v>
      </x:c>
      <x:c r="D55" s="38" t="str">
        <x:v>31/05/2026</x:v>
      </x:c>
      <x:c r="E55" s="38" t="str">
        <x:v>Albarán NT/26.001.238 (TABACO BARATO)</x:v>
      </x:c>
      <x:c r="F55" s="38" t="str">
        <x:v>DF-RR-500100</x:v>
      </x:c>
      <x:c r="G55" s="38" t="str">
        <x:v>REGULADOR DE REJILLA RR 500*100 MM</x:v>
      </x:c>
      <x:c r="H55" s="45" t="n">
        <x:v>4</x:v>
      </x:c>
      <x:c r="I55" s="47" t="n">
        <x:v>23.96</x:v>
      </x:c>
      <x:c r="J55" s="49" t="n">
        <x:v>0.4</x:v>
      </x:c>
      <x:c r="K55" s="51" t="n">
        <x:v>57.5</x:v>
      </x:c>
      <x:c r="L55" s="55" t="n">
        <x:v>0.07</x:v>
      </x:c>
    </x:row>
    <x:row r="56">
      <x:c r="B56" s="37" t="str">
        <x:v>Factura FM/6941</x:v>
      </x:c>
      <x:c r="C56" s="38" t="str">
        <x:v>Comercial Santana Alemán y González, S.L. (Grupo SAG)</x:v>
      </x:c>
      <x:c r="D56" s="38" t="str">
        <x:v>31/05/2026</x:v>
      </x:c>
      <x:c r="E56" s="38" t="str">
        <x:v>Albarán NT/26.001.238 (TABACO BARATO)</x:v>
      </x:c>
      <x:c r="F56" s="38" t="str">
        <x:v>DF-RRF-500100</x:v>
      </x:c>
      <x:c r="G56" s="38" t="str">
        <x:v>REJILLA DE LAMAS FIJAS A 45 RRF 500*100 (PERFORADA)</x:v>
      </x:c>
      <x:c r="H56" s="45" t="n">
        <x:v>4</x:v>
      </x:c>
      <x:c r="I56" s="47" t="n">
        <x:v>21.26</x:v>
      </x:c>
      <x:c r="J56" s="49" t="n">
        <x:v>0.4</x:v>
      </x:c>
      <x:c r="K56" s="51" t="n">
        <x:v>51.02</x:v>
      </x:c>
      <x:c r="L56" s="55" t="n">
        <x:v>0.07</x:v>
      </x:c>
    </x:row>
    <x:row r="57">
      <x:c r="B57" s="37" t="str">
        <x:v>Factura FM/6941</x:v>
      </x:c>
      <x:c r="C57" s="38" t="str">
        <x:v>Comercial Santana Alemán y González, S.L. (Grupo SAG)</x:v>
      </x:c>
      <x:c r="D57" s="38" t="str">
        <x:v>31/05/2026</x:v>
      </x:c>
      <x:c r="E57" s="38" t="str">
        <x:v>Albarán NT/26.001.238 (TABACO BARATO)</x:v>
      </x:c>
      <x:c r="F57" s="38" t="str">
        <x:v>DF-MR-00100</x:v>
      </x:c>
      <x:c r="G57" s="38" t="str">
        <x:v>LISTON METALICO PARA REJILLA MOD. MR-100</x:v>
      </x:c>
      <x:c r="H57" s="45" t="n">
        <x:v>8</x:v>
      </x:c>
      <x:c r="I57" s="47" t="n">
        <x:v>0.88</x:v>
      </x:c>
      <x:c r="J57" s="49" t="n">
        <x:v>0.4</x:v>
      </x:c>
      <x:c r="K57" s="51" t="n">
        <x:v>4.22</x:v>
      </x:c>
      <x:c r="L57" s="55" t="n">
        <x:v>0.07</x:v>
      </x:c>
    </x:row>
    <x:row r="58">
      <x:c r="B58" s="37" t="str">
        <x:v>Factura FM/6941</x:v>
      </x:c>
      <x:c r="C58" s="38" t="str">
        <x:v>Comercial Santana Alemán y González, S.L. (Grupo SAG)</x:v>
      </x:c>
      <x:c r="D58" s="38" t="str">
        <x:v>31/05/2026</x:v>
      </x:c>
      <x:c r="E58" s="38" t="str">
        <x:v>Albarán NT/26.001.238 (TABACO BARATO)</x:v>
      </x:c>
      <x:c r="F58" s="38" t="str">
        <x:v>80011006</x:v>
      </x:c>
      <x:c r="G58" s="38" t="str">
        <x:v>UNIDAD VENTILACION CENTRIFUGO CADTM-9/9-4M 1/2 (2800 M3/H)</x:v>
      </x:c>
      <x:c r="H58" s="45" t="n">
        <x:v>1</x:v>
      </x:c>
      <x:c r="I58" s="47" t="n">
        <x:v>583</x:v>
      </x:c>
      <x:c r="J58" s="49" t="n">
        <x:v>0.5</x:v>
      </x:c>
      <x:c r="K58" s="51" t="n">
        <x:v>291.5</x:v>
      </x:c>
      <x:c r="L58" s="55" t="n">
        <x:v>0.07</x:v>
      </x:c>
    </x:row>
    <x:row r="59">
      <x:c r="B59" s="37" t="str">
        <x:v>Factura FM/6941</x:v>
      </x:c>
      <x:c r="C59" s="38" t="str">
        <x:v>Comercial Santana Alemán y González, S.L. (Grupo SAG)</x:v>
      </x:c>
      <x:c r="D59" s="38" t="str">
        <x:v>31/05/2026</x:v>
      </x:c>
      <x:c r="E59" s="38" t="str">
        <x:v>Albarán NT/26.001.238 (TABACO BARATO)</x:v>
      </x:c>
      <x:c r="F59" s="38" t="str">
        <x:v>CG-PF-CADTM9/9</x:v>
      </x:c>
      <x:c r="G59" s="38" t="str">
        <x:v>PICO FLAUTA CADTM-9/9 300*260 MM</x:v>
      </x:c>
      <x:c r="H59" s="45" t="n">
        <x:v>1</x:v>
      </x:c>
      <x:c r="I59" s="47" t="n">
        <x:v>67.6</x:v>
      </x:c>
      <x:c r="J59" s="49" t="n">
        <x:v>0.5</x:v>
      </x:c>
      <x:c r="K59" s="51" t="n">
        <x:v>33.8</x:v>
      </x:c>
      <x:c r="L59" s="55" t="n">
        <x:v>0.07</x:v>
      </x:c>
    </x:row>
    <x:row r="60">
      <x:c r="B60" s="37" t="str">
        <x:v>Factura FM/6941</x:v>
      </x:c>
      <x:c r="C60" s="38" t="str">
        <x:v>Comercial Santana Alemán y González, S.L. (Grupo SAG)</x:v>
      </x:c>
      <x:c r="D60" s="38" t="str">
        <x:v>31/05/2026</x:v>
      </x:c>
      <x:c r="E60" s="38" t="str">
        <x:v>Albarán NT/26.001.238 (TABACO BARATO)</x:v>
      </x:c>
      <x:c r="F60" s="38" t="str">
        <x:v>CA09321</x:v>
      </x:c>
      <x:c r="G60" s="38" t="str">
        <x:v>ML JUNTA FLEXIBLE ANTI VIBRATORIA. (45+60+45) 400°C</x:v>
      </x:c>
      <x:c r="H60" s="45" t="n">
        <x:v>4</x:v>
      </x:c>
      <x:c r="I60" s="47" t="n">
        <x:v>10.5</x:v>
      </x:c>
      <x:c r="J60" s="49" t="n">
        <x:v>0.4</x:v>
      </x:c>
      <x:c r="K60" s="51" t="n">
        <x:v>25.2</x:v>
      </x:c>
      <x:c r="L60" s="55" t="n">
        <x:v>0.07</x:v>
      </x:c>
    </x:row>
    <x:row r="61">
      <x:c r="B61" s="37" t="str">
        <x:v>Factura FM/6941</x:v>
      </x:c>
      <x:c r="C61" s="38" t="str">
        <x:v>Comercial Santana Alemán y González, S.L. (Grupo SAG)</x:v>
      </x:c>
      <x:c r="D61" s="38" t="str">
        <x:v>31/05/2026</x:v>
      </x:c>
      <x:c r="E61" s="38" t="str">
        <x:v>Albarán NT/26.001.238 (TABACO BARATO)</x:v>
      </x:c>
      <x:c r="F61" s="38" t="str">
        <x:v>CG-THG-0250</x:v>
      </x:c>
      <x:c r="G61" s="38" t="str">
        <x:v>ML TUBO HELICOIDAL GALVA MARCA SAG DE 250 MM (3 METROS)</x:v>
      </x:c>
      <x:c r="H61" s="45" t="n">
        <x:v>12</x:v>
      </x:c>
      <x:c r="I61" s="47" t="n">
        <x:v>26.75</x:v>
      </x:c>
      <x:c r="J61" s="49" t="n">
        <x:v>0.5</x:v>
      </x:c>
      <x:c r="K61" s="51" t="n">
        <x:v>160.5</x:v>
      </x:c>
      <x:c r="L61" s="55" t="n">
        <x:v>0.07</x:v>
      </x:c>
    </x:row>
    <x:row r="62">
      <x:c r="B62" s="37" t="str">
        <x:v>Factura FM/6941</x:v>
      </x:c>
      <x:c r="C62" s="38" t="str">
        <x:v>Comercial Santana Alemán y González, S.L. (Grupo SAG)</x:v>
      </x:c>
      <x:c r="D62" s="38" t="str">
        <x:v>31/05/2026</x:v>
      </x:c>
      <x:c r="E62" s="38" t="str">
        <x:v>Albarán NT/26.001.238 (TABACO BARATO)</x:v>
      </x:c>
      <x:c r="F62" s="38" t="str">
        <x:v>CG-THG-0200</x:v>
      </x:c>
      <x:c r="G62" s="38" t="str">
        <x:v>ML TUBO HELICOIDAL GALVA MARCA SAG DE 200 MM (3 METROS)</x:v>
      </x:c>
      <x:c r="H62" s="45" t="n">
        <x:v>9</x:v>
      </x:c>
      <x:c r="I62" s="47" t="n">
        <x:v>18.3</x:v>
      </x:c>
      <x:c r="J62" s="49" t="n">
        <x:v>0.5</x:v>
      </x:c>
      <x:c r="K62" s="51" t="n">
        <x:v>82.35</x:v>
      </x:c>
      <x:c r="L62" s="55" t="n">
        <x:v>0.07</x:v>
      </x:c>
    </x:row>
    <x:row r="63">
      <x:c r="B63" s="37" t="str">
        <x:v>Albarán NT/26001505</x:v>
      </x:c>
      <x:c r="C63" s="38" t="str">
        <x:v>Comercial Santana Alemán y González, S.L. (Grupo SAG)</x:v>
      </x:c>
      <x:c r="D63" s="38" t="str">
        <x:v>01/06/2026</x:v>
      </x:c>
      <x:c r="E63" s="38" t="str">
        <x:v>initen</x:v>
      </x:c>
      <x:c r="F63" s="38" t="str">
        <x:v>CG-THG-0100</x:v>
      </x:c>
      <x:c r="G63" s="38" t="str">
        <x:v>ML TUBO HELICOIDAL GALVA MARCA SAG DE 100 MM (3 METROS)</x:v>
      </x:c>
      <x:c r="H63" s="45" t="n">
        <x:v>3</x:v>
      </x:c>
      <x:c r="I63" s="47" t="n">
        <x:v>8.9</x:v>
      </x:c>
      <x:c r="J63" s="49" t="n">
        <x:v>0.5</x:v>
      </x:c>
      <x:c r="K63" s="51" t="n">
        <x:v>13.35</x:v>
      </x:c>
      <x:c r="L63" s="55" t="n">
        <x:v>0.07</x:v>
      </x:c>
    </x:row>
    <x:row r="64">
      <x:c r="B64" s="37" t="str">
        <x:v>Albarán NT/26001505</x:v>
      </x:c>
      <x:c r="C64" s="38" t="str">
        <x:v>Comercial Santana Alemán y González, S.L. (Grupo SAG)</x:v>
      </x:c>
      <x:c r="D64" s="38" t="str">
        <x:v>01/06/2026</x:v>
      </x:c>
      <x:c r="E64" s="38" t="str">
        <x:v>initen</x:v>
      </x:c>
      <x:c r="F64" s="38" t="str">
        <x:v>CG-COD90-100</x:v>
      </x:c>
      <x:c r="G64" s="38" t="str">
        <x:v>CODO GALVANIZADO 90 100 MM</x:v>
      </x:c>
      <x:c r="H64" s="45" t="n">
        <x:v>3</x:v>
      </x:c>
      <x:c r="I64" s="47" t="n">
        <x:v>9.2</x:v>
      </x:c>
      <x:c r="J64" s="49" t="n">
        <x:v>0.5</x:v>
      </x:c>
      <x:c r="K64" s="51" t="n">
        <x:v>13.8</x:v>
      </x:c>
      <x:c r="L64" s="55" t="n">
        <x:v>0.07</x:v>
      </x:c>
    </x:row>
    <x:row r="65">
      <x:c r="B65" s="37" t="str">
        <x:v>Albarán NT/26001505</x:v>
      </x:c>
      <x:c r="C65" s="38" t="str">
        <x:v>Comercial Santana Alemán y González, S.L. (Grupo SAG)</x:v>
      </x:c>
      <x:c r="D65" s="38" t="str">
        <x:v>01/06/2026</x:v>
      </x:c>
      <x:c r="E65" s="38" t="str">
        <x:v>initen</x:v>
      </x:c>
      <x:c r="F65" s="38" t="str">
        <x:v>CG-TF-0102</x:v>
      </x:c>
      <x:c r="G65" s="38" t="str">
        <x:v>ML TUBO FLEXIBLE SIN AISLAR DE 102 MM (10 ML)</x:v>
      </x:c>
      <x:c r="H65" s="45" t="n">
        <x:v>10</x:v>
      </x:c>
      <x:c r="I65" s="47" t="n">
        <x:v>1.9</x:v>
      </x:c>
      <x:c r="J65" s="49" t="n">
        <x:v>0.5</x:v>
      </x:c>
      <x:c r="K65" s="51" t="n">
        <x:v>9.5</x:v>
      </x:c>
      <x:c r="L65" s="55" t="n">
        <x:v>0.07</x:v>
      </x:c>
    </x:row>
    <x:row r="66">
      <x:c r="B66" s="37" t="str">
        <x:v>Albarán NT/26001505</x:v>
      </x:c>
      <x:c r="C66" s="38" t="str">
        <x:v>Comercial Santana Alemán y González, S.L. (Grupo SAG)</x:v>
      </x:c>
      <x:c r="D66" s="38" t="str">
        <x:v>01/06/2026</x:v>
      </x:c>
      <x:c r="E66" s="38" t="str">
        <x:v>initen</x:v>
      </x:c>
      <x:c r="F66" s="38" t="str">
        <x:v>CTX40-4575</x:v>
      </x:c>
      <x:c r="G66" s="38" t="str">
        <x:v>CINTA ALUMINIO 75*45 METROS 40 MICRAS</x:v>
      </x:c>
      <x:c r="H66" s="45" t="n">
        <x:v>1</x:v>
      </x:c>
      <x:c r="I66" s="47" t="n">
        <x:v>12.41</x:v>
      </x:c>
      <x:c r="J66" s="49" t="n">
        <x:v>0.4</x:v>
      </x:c>
      <x:c r="K66" s="51" t="n">
        <x:v>7.45</x:v>
      </x:c>
      <x:c r="L66" s="55" t="n">
        <x:v>0.07</x:v>
      </x:c>
    </x:row>
    <x:row r="67">
      <x:c r="B67" s="37" t="str">
        <x:v>Albarán NT/26001505</x:v>
      </x:c>
      <x:c r="C67" s="38" t="str">
        <x:v>Comercial Santana Alemán y González, S.L. (Grupo SAG)</x:v>
      </x:c>
      <x:c r="D67" s="38" t="str">
        <x:v>01/06/2026</x:v>
      </x:c>
      <x:c r="E67" s="38" t="str">
        <x:v>initen</x:v>
      </x:c>
      <x:c r="F67" s="38" t="str">
        <x:v>1030708</x:v>
      </x:c>
      <x:c r="G67" s="38" t="str">
        <x:v>VENTILADOR HELICOCENTRIFUGO MOD. NEOLINEO-100</x:v>
      </x:c>
      <x:c r="H67" s="45" t="n">
        <x:v>1</x:v>
      </x:c>
      <x:c r="I67" s="47" t="n">
        <x:v>194.25</x:v>
      </x:c>
      <x:c r="J67" s="49" t="n">
        <x:v>0.4</x:v>
      </x:c>
      <x:c r="K67" s="51" t="n">
        <x:v>116.55</x:v>
      </x:c>
      <x:c r="L67" s="55" t="n">
        <x:v>0.07</x:v>
      </x:c>
    </x:row>
    <x:row r="68">
      <x:c r="B68" s="37" t="str">
        <x:v>Albarán NT/26001505</x:v>
      </x:c>
      <x:c r="C68" s="38" t="str">
        <x:v>Comercial Santana Alemán y González, S.L. (Grupo SAG)</x:v>
      </x:c>
      <x:c r="D68" s="38" t="str">
        <x:v>01/06/2026</x:v>
      </x:c>
      <x:c r="E68" s="38" t="str">
        <x:v>initen</x:v>
      </x:c>
      <x:c r="F68" s="38" t="str">
        <x:v>DF-BCE-100</x:v>
      </x:c>
      <x:c r="G68" s="38" t="str">
        <x:v>BOCA EXTRACTORA BCE 100 MM</x:v>
      </x:c>
      <x:c r="H68" s="45" t="n">
        <x:v>1</x:v>
      </x:c>
      <x:c r="I68" s="47" t="n">
        <x:v>9</x:v>
      </x:c>
      <x:c r="J68" s="49" t="n">
        <x:v>0.4</x:v>
      </x:c>
      <x:c r="K68" s="51" t="n">
        <x:v>5.4</x:v>
      </x:c>
      <x:c r="L68" s="55" t="n">
        <x:v>0.07</x:v>
      </x:c>
    </x:row>
    <x:row r="69">
      <x:c r="B69" s="37" t="str">
        <x:v>Albarán TF/26002890</x:v>
      </x:c>
      <x:c r="C69" s="38" t="str">
        <x:v>Comercial Santana Alemán y González, S.L. (Grupo SAG)</x:v>
      </x:c>
      <x:c r="D69" s="38" t="str">
        <x:v>18/06/2026</x:v>
      </x:c>
      <x:c r="E69" s="38" t="str">
        <x:v>BUENAVISTA</x:v>
      </x:c>
      <x:c r="F69" s="38" t="str">
        <x:v>MT1821</x:v>
      </x:c>
      <x:c r="G69" s="38" t="str">
        <x:v>MULTI EXTERIOR 2*1 TCL MOD MT1821</x:v>
      </x:c>
      <x:c r="H69" s="45" t="n">
        <x:v>1</x:v>
      </x:c>
      <x:c r="I69" s="47" t="n">
        <x:v>750</x:v>
      </x:c>
      <x:c r="J69" s="49" t="n">
        <x:v>0.4</x:v>
      </x:c>
      <x:c r="K69" s="51" t="n">
        <x:v>450</x:v>
      </x:c>
      <x:c r="L69" s="55" t="n">
        <x:v>0.07</x:v>
      </x:c>
    </x:row>
    <x:row r="70">
      <x:c r="B70" s="37" t="str">
        <x:v>Albarán TF/26002890</x:v>
      </x:c>
      <x:c r="C70" s="38" t="str">
        <x:v>Comercial Santana Alemán y González, S.L. (Grupo SAG)</x:v>
      </x:c>
      <x:c r="D70" s="38" t="str">
        <x:v>18/06/2026</x:v>
      </x:c>
      <x:c r="E70" s="38" t="str">
        <x:v>BUENAVISTA</x:v>
      </x:c>
      <x:c r="F70" s="38" t="str">
        <x:v>MT2730</x:v>
      </x:c>
      <x:c r="G70" s="38" t="str">
        <x:v>MULTI EXTERIOR 3*1 TCL MOD. MT2730</x:v>
      </x:c>
      <x:c r="H70" s="45" t="n">
        <x:v>1</x:v>
      </x:c>
      <x:c r="I70" s="47" t="n">
        <x:v>980</x:v>
      </x:c>
      <x:c r="J70" s="49" t="n">
        <x:v>0.4</x:v>
      </x:c>
      <x:c r="K70" s="51" t="n">
        <x:v>588</x:v>
      </x:c>
      <x:c r="L70" s="55" t="n">
        <x:v>0.07</x:v>
      </x:c>
    </x:row>
    <x:row r="71">
      <x:c r="B71" s="37" t="str">
        <x:v>Albarán TF/26002890</x:v>
      </x:c>
      <x:c r="C71" s="38" t="str">
        <x:v>Comercial Santana Alemán y González, S.L. (Grupo SAG)</x:v>
      </x:c>
      <x:c r="D71" s="38" t="str">
        <x:v>18/06/2026</x:v>
      </x:c>
      <x:c r="E71" s="38" t="str">
        <x:v>BUENAVISTA</x:v>
      </x:c>
      <x:c r="F71" s="38" t="str">
        <x:v>SN09F2S2</x:v>
      </x:c>
      <x:c r="G71" s="38" t="str">
        <x:v>MULTI INTERIOR TCL WIFI ELITE MOD. SN09F2S2</x:v>
      </x:c>
      <x:c r="H71" s="45" t="n">
        <x:v>3</x:v>
      </x:c>
      <x:c r="I71" s="47" t="n">
        <x:v>170</x:v>
      </x:c>
      <x:c r="J71" s="49" t="n">
        <x:v>0.4</x:v>
      </x:c>
      <x:c r="K71" s="51" t="n">
        <x:v>306</x:v>
      </x:c>
      <x:c r="L71" s="55" t="n">
        <x:v>0.07</x:v>
      </x:c>
    </x:row>
    <x:row r="72">
      <x:c r="B72" s="37" t="str">
        <x:v>Albarán TF/26002890</x:v>
      </x:c>
      <x:c r="C72" s="38" t="str">
        <x:v>Comercial Santana Alemán y González, S.L. (Grupo SAG)</x:v>
      </x:c>
      <x:c r="D72" s="38" t="str">
        <x:v>18/06/2026</x:v>
      </x:c>
      <x:c r="E72" s="38" t="str">
        <x:v>BUENAVISTA</x:v>
      </x:c>
      <x:c r="F72" s="38" t="str">
        <x:v>SN18F5S3</x:v>
      </x:c>
      <x:c r="G72" s="38" t="str">
        <x:v>MULTI INTERIOR TCL WIFI SaveIN AI MOD. SN18F5S3</x:v>
      </x:c>
      <x:c r="H72" s="45" t="n">
        <x:v>1</x:v>
      </x:c>
      <x:c r="I72" s="47" t="n">
        <x:v>235</x:v>
      </x:c>
      <x:c r="J72" s="49" t="n">
        <x:v>0.4</x:v>
      </x:c>
      <x:c r="K72" s="51" t="n">
        <x:v>141</x:v>
      </x:c>
      <x:c r="L72" s="55" t="n">
        <x:v>0.07</x:v>
      </x:c>
    </x:row>
    <x:row r="73">
      <x:c r="B73" s="37" t="str">
        <x:v>Albarán TF/25003721</x:v>
      </x:c>
      <x:c r="C73" s="38" t="str">
        <x:v>Comercial Santana Alemán y González, S.L. (Grupo SAG)</x:v>
      </x:c>
      <x:c r="D73" s="38" t="str">
        <x:v>01/08/2025</x:v>
      </x:c>
      <x:c r="E73" s="38" t="str">
        <x:v>NAVE NUEVA CHAFIRAS</x:v>
      </x:c>
      <x:c r="F73" s="38" t="str">
        <x:v>0812BCF</x:v>
      </x:c>
      <x:c r="G73" s="38" t="str">
        <x:v>ML CANALETA PARA TUBERIAS 60*80 MM CON FILM (2 METROS)</x:v>
      </x:c>
      <x:c r="H73" s="45" t="n">
        <x:v>2</x:v>
      </x:c>
      <x:c r="I73" s="47" t="n">
        <x:v>7.6</x:v>
      </x:c>
      <x:c r="J73" s="49" t="n">
        <x:v>0.45</x:v>
      </x:c>
      <x:c r="K73" s="51" t="n">
        <x:v>8.36</x:v>
      </x:c>
      <x:c r="L73" s="55" t="n">
        <x:v>0.07</x:v>
      </x:c>
    </x:row>
    <x:row r="74">
      <x:c r="B74" s="37" t="str">
        <x:v>Factura FM/6290</x:v>
      </x:c>
      <x:c r="C74" s="38" t="str">
        <x:v>Comercial Santana Alemán y González, S.L. (Grupo SAG)</x:v>
      </x:c>
      <x:c r="D74" s="38" t="str">
        <x:v>31/01/2026</x:v>
      </x:c>
      <x:c r="E74" s="38" t="str">
        <x:v>Albarán NT/26.000.142</x:v>
      </x:c>
      <x:c r="F74" s="38" t="str">
        <x:v>76109090</x:v>
      </x:c>
      <x:c r="G74" s="38" t="str">
        <x:v>M2 PANEL ALUMINIO 35 S 60/60 20MM ESPESOR DE 3000*1200*20 (3.60 M2)</x:v>
      </x:c>
      <x:c r="H74" s="45" t="n">
        <x:v>7.2</x:v>
      </x:c>
      <x:c r="I74" s="47" t="n">
        <x:v>19</x:v>
      </x:c>
      <x:c r="J74" s="49" t="n">
        <x:v>0.4</x:v>
      </x:c>
      <x:c r="K74" s="51" t="n">
        <x:v>82.08</x:v>
      </x:c>
      <x:c r="L74" s="55" t="n">
        <x:v>0.07</x:v>
      </x:c>
    </x:row>
    <x:row r="75">
      <x:c r="B75" s="37" t="str">
        <x:v>Factura FM/6290</x:v>
      </x:c>
      <x:c r="C75" s="38" t="str">
        <x:v>Comercial Santana Alemán y González, S.L. (Grupo SAG)</x:v>
      </x:c>
      <x:c r="D75" s="38" t="str">
        <x:v>31/01/2026</x:v>
      </x:c>
      <x:c r="E75" s="38" t="str">
        <x:v>Albarán NT/26.000.143</x:v>
      </x:c>
      <x:c r="F75" s="38" t="str">
        <x:v>AL42147</x:v>
      </x:c>
      <x:c r="G75" s="38" t="str">
        <x:v>PALETINA DOBLE DOMESTICA Nº24 50mm</x:v>
      </x:c>
      <x:c r="H75" s="45" t="n">
        <x:v>1</x:v>
      </x:c>
      <x:c r="I75" s="47" t="n">
        <x:v>1.75</x:v>
      </x:c>
      <x:c r="J75" s="49" t="n">
        <x:v>0</x:v>
      </x:c>
      <x:c r="K75" s="51" t="n">
        <x:v>1.75</x:v>
      </x:c>
      <x:c r="L75" s="55" t="n">
        <x:v>0.07</x:v>
      </x:c>
    </x:row>
    <x:row r="76">
      <x:c r="B76" s="37" t="str">
        <x:v>Factura FM/6290</x:v>
      </x:c>
      <x:c r="C76" s="38" t="str">
        <x:v>Comercial Santana Alemán y González, S.L. (Grupo SAG)</x:v>
      </x:c>
      <x:c r="D76" s="38" t="str">
        <x:v>31/01/2026</x:v>
      </x:c>
      <x:c r="E76" s="38" t="str">
        <x:v>Albarán NT/26.000.059</x:v>
      </x:c>
      <x:c r="F76" s="38" t="str">
        <x:v>32672</x:v>
      </x:c>
      <x:c r="G76" s="38" t="str">
        <x:v>COLA ESPECIAL BUNITEX MOD. P-55 1L</x:v>
      </x:c>
      <x:c r="H76" s="45" t="n">
        <x:v>1</x:v>
      </x:c>
      <x:c r="I76" s="47" t="n">
        <x:v>12.5</x:v>
      </x:c>
      <x:c r="J76" s="49" t="n">
        <x:v>0.4</x:v>
      </x:c>
      <x:c r="K76" s="51" t="n">
        <x:v>7.5</x:v>
      </x:c>
      <x:c r="L76" s="55" t="n">
        <x:v>0.03</x:v>
      </x:c>
    </x:row>
    <x:row r="77">
      <x:c r="B77" s="37" t="str">
        <x:v>Factura FM/6290</x:v>
      </x:c>
      <x:c r="C77" s="38" t="str">
        <x:v>Comercial Santana Alemán y González, S.L. (Grupo SAG)</x:v>
      </x:c>
      <x:c r="D77" s="38" t="str">
        <x:v>31/01/2026</x:v>
      </x:c>
      <x:c r="E77" s="38" t="str">
        <x:v>Albarán NT/26.000.059</x:v>
      </x:c>
      <x:c r="F77" s="38" t="str">
        <x:v>AL42146</x:v>
      </x:c>
      <x:c r="G77" s="38" t="str">
        <x:v>PALETINA DOBLE DOMESTICA Nº21 45 MM</x:v>
      </x:c>
      <x:c r="H77" s="45" t="n">
        <x:v>1</x:v>
      </x:c>
      <x:c r="I77" s="47" t="n">
        <x:v>1.3</x:v>
      </x:c>
      <x:c r="J77" s="49" t="n">
        <x:v>0</x:v>
      </x:c>
      <x:c r="K77" s="51" t="n">
        <x:v>1.3</x:v>
      </x:c>
      <x:c r="L77" s="55" t="n">
        <x:v>0.07</x:v>
      </x:c>
    </x:row>
    <x:row r="78">
      <x:c r="B78" s="37" t="str">
        <x:v>Factura FM/6452</x:v>
      </x:c>
      <x:c r="C78" s="38" t="str">
        <x:v>Comercial Santana Alemán y González, S.L. (Grupo SAG)</x:v>
      </x:c>
      <x:c r="D78" s="38" t="str">
        <x:v>28/02/2026</x:v>
      </x:c>
      <x:c r="E78" s="38" t="str">
        <x:v>Albarán TF/26.000.526</x:v>
      </x:c>
      <x:c r="F78" s="38" t="str">
        <x:v>0807CP</x:v>
      </x:c>
      <x:c r="G78" s="38" t="str">
        <x:v>ANGULO PLANO 60*80 MM</x:v>
      </x:c>
      <x:c r="H78" s="45" t="n">
        <x:v>2</x:v>
      </x:c>
      <x:c r="I78" s="47" t="n">
        <x:v>5.8</x:v>
      </x:c>
      <x:c r="J78" s="49" t="n">
        <x:v>0.45</x:v>
      </x:c>
      <x:c r="K78" s="51" t="n">
        <x:v>6.38</x:v>
      </x:c>
      <x:c r="L78" s="55" t="n">
        <x:v>0.07</x:v>
      </x:c>
    </x:row>
    <x:row r="79">
      <x:c r="B79" s="37" t="str">
        <x:v>Factura FM/6452</x:v>
      </x:c>
      <x:c r="C79" s="38" t="str">
        <x:v>Comercial Santana Alemán y González, S.L. (Grupo SAG)</x:v>
      </x:c>
      <x:c r="D79" s="38" t="str">
        <x:v>28/02/2026</x:v>
      </x:c>
      <x:c r="E79" s="38" t="str">
        <x:v>Albarán NT/26.000.311</x:v>
      </x:c>
      <x:c r="F79" s="38" t="str">
        <x:v>S18F2S1</x:v>
      </x:c>
      <x:c r="G79" s="38" t="str">
        <x:v>CONJUNTO TCL WIFI ELITE MOD. S18F2S1</x:v>
      </x:c>
      <x:c r="H79" s="45" t="n">
        <x:v>1</x:v>
      </x:c>
      <x:c r="I79" s="47" t="n">
        <x:v>485</x:v>
      </x:c>
      <x:c r="J79" s="49" t="n">
        <x:v>0</x:v>
      </x:c>
      <x:c r="K79" s="51" t="n">
        <x:v>485</x:v>
      </x:c>
      <x:c r="L79" s="55" t="n">
        <x:v>0.07</x:v>
      </x:c>
    </x:row>
    <x:row r="80">
      <x:c r="B80" s="37" t="str">
        <x:v>Factura FM/6452</x:v>
      </x:c>
      <x:c r="C80" s="38" t="str">
        <x:v>Comercial Santana Alemán y González, S.L. (Grupo SAG)</x:v>
      </x:c>
      <x:c r="D80" s="38" t="str">
        <x:v>28/02/2026</x:v>
      </x:c>
      <x:c r="E80" s="38" t="str">
        <x:v>Albarán NT/26.000.311</x:v>
      </x:c>
      <x:c r="F80" s="38" t="str">
        <x:v>0812BCF</x:v>
      </x:c>
      <x:c r="G80" s="38" t="str">
        <x:v>ML CANALETA PARA TUBERIAS 60*80 MM CON FILM (2 METROS)</x:v>
      </x:c>
      <x:c r="H80" s="45" t="n">
        <x:v>16</x:v>
      </x:c>
      <x:c r="I80" s="47" t="n">
        <x:v>7.6</x:v>
      </x:c>
      <x:c r="J80" s="49" t="n">
        <x:v>0.45</x:v>
      </x:c>
      <x:c r="K80" s="51" t="n">
        <x:v>66.88</x:v>
      </x:c>
      <x:c r="L80" s="55" t="n">
        <x:v>0.07</x:v>
      </x:c>
    </x:row>
    <x:row r="81">
      <x:c r="B81" s="37" t="str">
        <x:v>Factura FM/6452</x:v>
      </x:c>
      <x:c r="C81" s="38" t="str">
        <x:v>Comercial Santana Alemán y González, S.L. (Grupo SAG)</x:v>
      </x:c>
      <x:c r="D81" s="38" t="str">
        <x:v>28/02/2026</x:v>
      </x:c>
      <x:c r="E81" s="38" t="str">
        <x:v>Albarán NT/26.000.355 (Devolución)</x:v>
      </x:c>
      <x:c r="F81" s="38" t="str">
        <x:v>0806AE</x:v>
      </x:c>
      <x:c r="G81" s="38" t="str">
        <x:v>ANGULO EXTERIOR 60*80 MM</x:v>
      </x:c>
      <x:c r="H81" s="45" t="n">
        <x:v>-1</x:v>
      </x:c>
      <x:c r="I81" s="47" t="n">
        <x:v>4.2</x:v>
      </x:c>
      <x:c r="J81" s="49" t="n">
        <x:v>0.45</x:v>
      </x:c>
      <x:c r="K81" s="51" t="n">
        <x:v>-2.31</x:v>
      </x:c>
      <x:c r="L81" s="55" t="n">
        <x:v>0.07</x:v>
      </x:c>
    </x:row>
    <x:row r="82">
      <x:c r="B82" s="37" t="str">
        <x:v>Factura FM/6452</x:v>
      </x:c>
      <x:c r="C82" s="38" t="str">
        <x:v>Comercial Santana Alemán y González, S.L. (Grupo SAG)</x:v>
      </x:c>
      <x:c r="D82" s="38" t="str">
        <x:v>28/02/2026</x:v>
      </x:c>
      <x:c r="E82" s="38" t="str">
        <x:v>Albarán NT/26.000.355 (Devolución)</x:v>
      </x:c>
      <x:c r="F82" s="38" t="str">
        <x:v>0809CM</x:v>
      </x:c>
      <x:c r="G82" s="38" t="str">
        <x:v>CURVA A MURO CM 60*80 MM</x:v>
      </x:c>
      <x:c r="H82" s="45" t="n">
        <x:v>-1</x:v>
      </x:c>
      <x:c r="I82" s="47" t="n">
        <x:v>6.73</x:v>
      </x:c>
      <x:c r="J82" s="49" t="n">
        <x:v>0.45</x:v>
      </x:c>
      <x:c r="K82" s="51" t="n">
        <x:v>-3.7</x:v>
      </x:c>
      <x:c r="L82" s="55" t="n">
        <x:v>0.07</x:v>
      </x:c>
    </x:row>
    <x:row r="83">
      <x:c r="B83" s="37" t="str">
        <x:v>Factura FM/6452</x:v>
      </x:c>
      <x:c r="C83" s="38" t="str">
        <x:v>Comercial Santana Alemán y González, S.L. (Grupo SAG)</x:v>
      </x:c>
      <x:c r="D83" s="38" t="str">
        <x:v>28/02/2026</x:v>
      </x:c>
      <x:c r="E83" s="38" t="str">
        <x:v>Albarán NT/26.000.355 (Devolución)</x:v>
      </x:c>
      <x:c r="F83" s="38" t="str">
        <x:v>0812BCF</x:v>
      </x:c>
      <x:c r="G83" s="38" t="str">
        <x:v>ML CANALETA PARA TUBERIAS 60*80 MM CON FILM (2 METROS)</x:v>
      </x:c>
      <x:c r="H83" s="45" t="n">
        <x:v>-4</x:v>
      </x:c>
      <x:c r="I83" s="47" t="n">
        <x:v>7.6</x:v>
      </x:c>
      <x:c r="J83" s="49" t="n">
        <x:v>0.45</x:v>
      </x:c>
      <x:c r="K83" s="51" t="n">
        <x:v>-16.72</x:v>
      </x:c>
      <x:c r="L83" s="55" t="n">
        <x:v>0.07</x:v>
      </x:c>
    </x:row>
    <x:row r="84">
      <x:c r="B84" s="37" t="str">
        <x:v>Factura FM/6452</x:v>
      </x:c>
      <x:c r="C84" s="38" t="str">
        <x:v>Comercial Santana Alemán y González, S.L. (Grupo SAG)</x:v>
      </x:c>
      <x:c r="D84" s="38" t="str">
        <x:v>28/02/2026</x:v>
      </x:c>
      <x:c r="E84" s="38" t="str">
        <x:v>Albarán NT/26.000.355 (Devolución)</x:v>
      </x:c>
      <x:c r="F84" s="38" t="str">
        <x:v>CG-THG-0100</x:v>
      </x:c>
      <x:c r="G84" s="38" t="str">
        <x:v>ML TUBO HELICOIDAL GALVA MARCA SAG DE 100 MM (3 METROS)</x:v>
      </x:c>
      <x:c r="H84" s="45" t="n">
        <x:v>-3</x:v>
      </x:c>
      <x:c r="I84" s="47" t="n">
        <x:v>8.9</x:v>
      </x:c>
      <x:c r="J84" s="49" t="n">
        <x:v>0.5</x:v>
      </x:c>
      <x:c r="K84" s="51" t="n">
        <x:v>-13.35</x:v>
      </x:c>
      <x:c r="L84" s="55" t="n">
        <x:v>0.07</x:v>
      </x:c>
    </x:row>
    <x:row r="85">
      <x:c r="B85" s="37" t="str">
        <x:v>Factura FM/6452</x:v>
      </x:c>
      <x:c r="C85" s="38" t="str">
        <x:v>Comercial Santana Alemán y González, S.L. (Grupo SAG)</x:v>
      </x:c>
      <x:c r="D85" s="38" t="str">
        <x:v>28/02/2026</x:v>
      </x:c>
      <x:c r="E85" s="38" t="str">
        <x:v>Albarán NT/26.000.337</x:v>
      </x:c>
      <x:c r="F85" s="38" t="str">
        <x:v>1028025</x:v>
      </x:c>
      <x:c r="G85" s="38" t="str">
        <x:v>UNIDAD VENTILACION 400ºC/2H EXTERIOR CJTX-C-10/10-2 (5300 M3H)</x:v>
      </x:c>
      <x:c r="H85" s="45" t="n">
        <x:v>1</x:v>
      </x:c>
      <x:c r="I85" s="47" t="n">
        <x:v>2266.3</x:v>
      </x:c>
      <x:c r="J85" s="49" t="n">
        <x:v>0.5</x:v>
      </x:c>
      <x:c r="K85" s="51" t="n">
        <x:v>1133.15</x:v>
      </x:c>
      <x:c r="L85" s="55" t="n">
        <x:v>0.07</x:v>
      </x:c>
    </x:row>
    <x:row r="86">
      <x:c r="B86" s="37" t="str">
        <x:v>Factura FM/6452</x:v>
      </x:c>
      <x:c r="C86" s="38" t="str">
        <x:v>Comercial Santana Alemán y González, S.L. (Grupo SAG)</x:v>
      </x:c>
      <x:c r="D86" s="38" t="str">
        <x:v>28/02/2026</x:v>
      </x:c>
      <x:c r="E86" s="38" t="str">
        <x:v>Albarán NT/26.000.337</x:v>
      </x:c>
      <x:c r="F86" s="38" t="str">
        <x:v>TAPA-12/12</x:v>
      </x:c>
      <x:c r="G86" s="38" t="str">
        <x:v>TAPA ASPIRACION 12/12 (610*560 MM)</x:v>
      </x:c>
      <x:c r="H86" s="45" t="n">
        <x:v>1</x:v>
      </x:c>
      <x:c r="I86" s="47" t="n">
        <x:v>45.1</x:v>
      </x:c>
      <x:c r="J86" s="49" t="n">
        <x:v>0.5</x:v>
      </x:c>
      <x:c r="K86" s="51" t="n">
        <x:v>22.55</x:v>
      </x:c>
      <x:c r="L86" s="55" t="n">
        <x:v>0.07</x:v>
      </x:c>
    </x:row>
    <x:row r="87">
      <x:c r="B87" s="37" t="str">
        <x:v>Factura FM/6452</x:v>
      </x:c>
      <x:c r="C87" s="38" t="str">
        <x:v>Comercial Santana Alemán y González, S.L. (Grupo SAG)</x:v>
      </x:c>
      <x:c r="D87" s="38" t="str">
        <x:v>28/02/2026</x:v>
      </x:c>
      <x:c r="E87" s="38" t="str">
        <x:v>Albarán NT/26.000.337</x:v>
      </x:c>
      <x:c r="F87" s="38" t="str">
        <x:v>0806AE</x:v>
      </x:c>
      <x:c r="G87" s="38" t="str">
        <x:v>ANGULO EXTERIOR 60*80 MM</x:v>
      </x:c>
      <x:c r="H87" s="45" t="n">
        <x:v>1</x:v>
      </x:c>
      <x:c r="I87" s="47" t="n">
        <x:v>4.2</x:v>
      </x:c>
      <x:c r="J87" s="49" t="n">
        <x:v>0.45</x:v>
      </x:c>
      <x:c r="K87" s="51" t="n">
        <x:v>2.31</x:v>
      </x:c>
      <x:c r="L87" s="55" t="n">
        <x:v>0.07</x:v>
      </x:c>
    </x:row>
    <x:row r="88">
      <x:c r="B88" s="37" t="str">
        <x:v>Factura FM/6452</x:v>
      </x:c>
      <x:c r="C88" s="38" t="str">
        <x:v>Comercial Santana Alemán y González, S.L. (Grupo SAG)</x:v>
      </x:c>
      <x:c r="D88" s="38" t="str">
        <x:v>28/02/2026</x:v>
      </x:c>
      <x:c r="E88" s="38" t="str">
        <x:v>Albarán NT/26.000.337</x:v>
      </x:c>
      <x:c r="F88" s="38" t="str">
        <x:v>0805AI</x:v>
      </x:c>
      <x:c r="G88" s="38" t="str">
        <x:v>ANGULO INTERIOR 60*80 MM</x:v>
      </x:c>
      <x:c r="H88" s="45" t="n">
        <x:v>2</x:v>
      </x:c>
      <x:c r="I88" s="47" t="n">
        <x:v>4.2</x:v>
      </x:c>
      <x:c r="J88" s="49" t="n">
        <x:v>0.45</x:v>
      </x:c>
      <x:c r="K88" s="51" t="n">
        <x:v>4.62</x:v>
      </x:c>
      <x:c r="L88" s="55" t="n">
        <x:v>0.07</x:v>
      </x:c>
    </x:row>
    <x:row r="89">
      <x:c r="B89" s="37" t="str">
        <x:v>Factura FM/6452</x:v>
      </x:c>
      <x:c r="C89" s="38" t="str">
        <x:v>Comercial Santana Alemán y González, S.L. (Grupo SAG)</x:v>
      </x:c>
      <x:c r="D89" s="38" t="str">
        <x:v>28/02/2026</x:v>
      </x:c>
      <x:c r="E89" s="38" t="str">
        <x:v>Albarán NT/26.000.337</x:v>
      </x:c>
      <x:c r="F89" s="38" t="str">
        <x:v>0809CM</x:v>
      </x:c>
      <x:c r="G89" s="38" t="str">
        <x:v>CURVA A MURO CM 60*80 MM</x:v>
      </x:c>
      <x:c r="H89" s="45" t="n">
        <x:v>1</x:v>
      </x:c>
      <x:c r="I89" s="47" t="n">
        <x:v>6.73</x:v>
      </x:c>
      <x:c r="J89" s="49" t="n">
        <x:v>0.45</x:v>
      </x:c>
      <x:c r="K89" s="51" t="n">
        <x:v>3.7</x:v>
      </x:c>
      <x:c r="L89" s="55" t="n">
        <x:v>0.07</x:v>
      </x:c>
    </x:row>
    <x:row r="90">
      <x:c r="B90" s="37" t="str">
        <x:v>Factura FM/6631</x:v>
      </x:c>
      <x:c r="C90" s="38" t="str">
        <x:v>Comercial Santana Alemán y González, S.L. (Grupo SAG)</x:v>
      </x:c>
      <x:c r="D90" s="38" t="str">
        <x:v>31/03/2026</x:v>
      </x:c>
      <x:c r="E90" s="38" t="str">
        <x:v>Albarán NT/26.000.596</x:v>
      </x:c>
      <x:c r="F90" s="38" t="str">
        <x:v>15580200</x:v>
      </x:c>
      <x:c r="G90" s="38" t="str">
        <x:v>ABRAZ. RM8+M10-200</x:v>
      </x:c>
      <x:c r="H90" s="45" t="n">
        <x:v>2</x:v>
      </x:c>
      <x:c r="I90" s="47" t="n">
        <x:v>3.08</x:v>
      </x:c>
      <x:c r="J90" s="49" t="n">
        <x:v>0.55</x:v>
      </x:c>
      <x:c r="K90" s="51" t="n">
        <x:v>2.77</x:v>
      </x:c>
      <x:c r="L90" s="55" t="n">
        <x:v>0.07</x:v>
      </x:c>
    </x:row>
    <x:row r="91">
      <x:c r="B91" s="37" t="str">
        <x:v>Factura FM/6631</x:v>
      </x:c>
      <x:c r="C91" s="38" t="str">
        <x:v>Comercial Santana Alemán y González, S.L. (Grupo SAG)</x:v>
      </x:c>
      <x:c r="D91" s="38" t="str">
        <x:v>31/03/2026</x:v>
      </x:c>
      <x:c r="E91" s="38" t="str">
        <x:v>Albarán NT/26.000.598</x:v>
      </x:c>
      <x:c r="F91" s="38" t="str">
        <x:v>CG-MAN-200</x:v>
      </x:c>
      <x:c r="G91" s="38" t="str">
        <x:v>MANGUITO GALVANIZADO DE 200 MM</x:v>
      </x:c>
      <x:c r="H91" s="45" t="n">
        <x:v>1</x:v>
      </x:c>
      <x:c r="I91" s="47" t="n">
        <x:v>5.998</x:v>
      </x:c>
      <x:c r="J91" s="49" t="n">
        <x:v>0.55</x:v>
      </x:c>
      <x:c r="K91" s="51" t="n">
        <x:v>2.7</x:v>
      </x:c>
      <x:c r="L91" s="55" t="n">
        <x:v>0.07</x:v>
      </x:c>
    </x:row>
    <x:row r="92">
      <x:c r="B92" s="37" t="str">
        <x:v>Factura FM/6631</x:v>
      </x:c>
      <x:c r="C92" s="38" t="str">
        <x:v>Comercial Santana Alemán y González, S.L. (Grupo SAG)</x:v>
      </x:c>
      <x:c r="D92" s="38" t="str">
        <x:v>31/03/2026</x:v>
      </x:c>
      <x:c r="E92" s="38" t="str">
        <x:v>Albarán NT/26.000.905</x:v>
      </x:c>
      <x:c r="F92" s="38" t="str">
        <x:v>7005-4100</x:v>
      </x:c>
      <x:c r="G92" s="38" t="str">
        <x:v>BD KIT ANALIZADOR MANGUERA FLEXIBLE L1500 R410, R32,R407C</x:v>
      </x:c>
      <x:c r="H92" s="45" t="n">
        <x:v>1</x:v>
      </x:c>
      <x:c r="I92" s="47" t="n">
        <x:v>253.63</x:v>
      </x:c>
      <x:c r="J92" s="49" t="n">
        <x:v>0.4</x:v>
      </x:c>
      <x:c r="K92" s="51" t="n">
        <x:v>152.18</x:v>
      </x:c>
      <x:c r="L92" s="55" t="n">
        <x:v>0.07</x:v>
      </x:c>
    </x:row>
    <x:row r="93">
      <x:c r="B93" s="37" t="str">
        <x:v>Factura FM/6631</x:v>
      </x:c>
      <x:c r="C93" s="38" t="str">
        <x:v>Comercial Santana Alemán y González, S.L. (Grupo SAG)</x:v>
      </x:c>
      <x:c r="D93" s="38" t="str">
        <x:v>31/03/2026</x:v>
      </x:c>
      <x:c r="E93" s="38" t="str">
        <x:v>Albarán NT/26.000.559 (CABILDO CASA LA MIEL)</x:v>
      </x:c>
      <x:c r="F93" s="38" t="str">
        <x:v>CG-COD90-200</x:v>
      </x:c>
      <x:c r="G93" s="38" t="str">
        <x:v>CODO GALVANIZADO 90º 200 MM</x:v>
      </x:c>
      <x:c r="H93" s="45" t="n">
        <x:v>3</x:v>
      </x:c>
      <x:c r="I93" s="47" t="n">
        <x:v>26.08</x:v>
      </x:c>
      <x:c r="J93" s="49" t="n">
        <x:v>0.5</x:v>
      </x:c>
      <x:c r="K93" s="51" t="n">
        <x:v>39.12</x:v>
      </x:c>
      <x:c r="L93" s="55" t="n">
        <x:v>0.07</x:v>
      </x:c>
    </x:row>
    <x:row r="94">
      <x:c r="B94" s="37" t="str">
        <x:v>Factura FM/6631</x:v>
      </x:c>
      <x:c r="C94" s="38" t="str">
        <x:v>Comercial Santana Alemán y González, S.L. (Grupo SAG)</x:v>
      </x:c>
      <x:c r="D94" s="38" t="str">
        <x:v>31/03/2026</x:v>
      </x:c>
      <x:c r="E94" s="38" t="str">
        <x:v>Albarán NT/26.000.559 (CABILDO CASA LA MIEL)</x:v>
      </x:c>
      <x:c r="F94" s="38" t="str">
        <x:v>CG-TE90-200</x:v>
      </x:c>
      <x:c r="G94" s="38" t="str">
        <x:v>TE GALVANIZADA 90º 200 MM</x:v>
      </x:c>
      <x:c r="H94" s="45" t="n">
        <x:v>1</x:v>
      </x:c>
      <x:c r="I94" s="47" t="n">
        <x:v>30.44</x:v>
      </x:c>
      <x:c r="J94" s="49" t="n">
        <x:v>0.5</x:v>
      </x:c>
      <x:c r="K94" s="51" t="n">
        <x:v>15.22</x:v>
      </x:c>
      <x:c r="L94" s="55" t="n">
        <x:v>0.07</x:v>
      </x:c>
    </x:row>
    <x:row r="95">
      <x:c r="B95" s="37" t="str">
        <x:v>Factura FM/6631</x:v>
      </x:c>
      <x:c r="C95" s="38" t="str">
        <x:v>Comercial Santana Alemán y González, S.L. (Grupo SAG)</x:v>
      </x:c>
      <x:c r="D95" s="38" t="str">
        <x:v>31/03/2026</x:v>
      </x:c>
      <x:c r="E95" s="38" t="str">
        <x:v>Albarán NT/26.000.559 (CABILDO CASA LA MIEL)</x:v>
      </x:c>
      <x:c r="F95" s="38" t="str">
        <x:v>CG-TAPA-200</x:v>
      </x:c>
      <x:c r="G95" s="38" t="str">
        <x:v>TAPA GALVANIZADA DE 200 MM</x:v>
      </x:c>
      <x:c r="H95" s="45" t="n">
        <x:v>3</x:v>
      </x:c>
      <x:c r="I95" s="47" t="n">
        <x:v>7.67</x:v>
      </x:c>
      <x:c r="J95" s="49" t="n">
        <x:v>0.5</x:v>
      </x:c>
      <x:c r="K95" s="51" t="n">
        <x:v>11.51</x:v>
      </x:c>
      <x:c r="L95" s="55" t="n">
        <x:v>0.07</x:v>
      </x:c>
    </x:row>
    <x:row r="96">
      <x:c r="B96" s="37" t="str">
        <x:v>Factura FM/6631</x:v>
      </x:c>
      <x:c r="C96" s="38" t="str">
        <x:v>Comercial Santana Alemán y González, S.L. (Grupo SAG)</x:v>
      </x:c>
      <x:c r="D96" s="38" t="str">
        <x:v>31/03/2026</x:v>
      </x:c>
      <x:c r="E96" s="38" t="str">
        <x:v>Albarán NT/26.000.559 (CABILDO CASA LA MIEL)</x:v>
      </x:c>
      <x:c r="F96" s="38" t="str">
        <x:v>CG-THG-0200</x:v>
      </x:c>
      <x:c r="G96" s="38" t="str">
        <x:v>ML TUBO HELICOIDAL GALVA MARCA SAG DE 200 MM (3 METROS)</x:v>
      </x:c>
      <x:c r="H96" s="45" t="n">
        <x:v>9</x:v>
      </x:c>
      <x:c r="I96" s="47" t="n">
        <x:v>18.3</x:v>
      </x:c>
      <x:c r="J96" s="49" t="n">
        <x:v>0.5</x:v>
      </x:c>
      <x:c r="K96" s="51" t="n">
        <x:v>82.35</x:v>
      </x:c>
      <x:c r="L96" s="55" t="n">
        <x:v>0.07</x:v>
      </x:c>
    </x:row>
    <x:row r="97">
      <x:c r="B97" s="37" t="str">
        <x:v>Factura FM/6631</x:v>
      </x:c>
      <x:c r="C97" s="38" t="str">
        <x:v>Comercial Santana Alemán y González, S.L. (Grupo SAG)</x:v>
      </x:c>
      <x:c r="D97" s="38" t="str">
        <x:v>31/03/2026</x:v>
      </x:c>
      <x:c r="E97" s="38" t="str">
        <x:v>Albarán NT/26.000.559 (CABILDO CASA LA MIEL)</x:v>
      </x:c>
      <x:c r="F97" s="38" t="str">
        <x:v>CG-CRN-0200</x:v>
      </x:c>
      <x:c r="G97" s="38" t="str">
        <x:v>CORONA DE 200 MM</x:v>
      </x:c>
      <x:c r="H97" s="45" t="n">
        <x:v>6</x:v>
      </x:c>
      <x:c r="I97" s="47" t="n">
        <x:v>5.38</x:v>
      </x:c>
      <x:c r="J97" s="49" t="n">
        <x:v>0.5</x:v>
      </x:c>
      <x:c r="K97" s="51" t="n">
        <x:v>16.14</x:v>
      </x:c>
      <x:c r="L97" s="55" t="n">
        <x:v>0.07</x:v>
      </x:c>
    </x:row>
    <x:row r="98">
      <x:c r="B98" s="37" t="str">
        <x:v>Factura FM/6631</x:v>
      </x:c>
      <x:c r="C98" s="38" t="str">
        <x:v>Comercial Santana Alemán y González, S.L. (Grupo SAG)</x:v>
      </x:c>
      <x:c r="D98" s="38" t="str">
        <x:v>31/03/2026</x:v>
      </x:c>
      <x:c r="E98" s="38" t="str">
        <x:v>Albarán NT/26.000.559 (CABILDO CASA LA MIEL)</x:v>
      </x:c>
      <x:c r="F98" s="38" t="str">
        <x:v>15580200</x:v>
      </x:c>
      <x:c r="G98" s="38" t="str">
        <x:v>ABRAZ. RM8+M10-200</x:v>
      </x:c>
      <x:c r="H98" s="45" t="n">
        <x:v>6</x:v>
      </x:c>
      <x:c r="I98" s="47" t="n">
        <x:v>3.08</x:v>
      </x:c>
      <x:c r="J98" s="49" t="n">
        <x:v>0.55</x:v>
      </x:c>
      <x:c r="K98" s="51" t="n">
        <x:v>8.32</x:v>
      </x:c>
      <x:c r="L98" s="55" t="n">
        <x:v>0.07</x:v>
      </x:c>
    </x:row>
    <x:row r="99">
      <x:c r="B99" s="37" t="str">
        <x:v>Factura FM/6631</x:v>
      </x:c>
      <x:c r="C99" s="38" t="str">
        <x:v>Comercial Santana Alemán y González, S.L. (Grupo SAG)</x:v>
      </x:c>
      <x:c r="D99" s="38" t="str">
        <x:v>31/03/2026</x:v>
      </x:c>
      <x:c r="E99" s="38" t="str">
        <x:v>Albarán TF/26.000.902 (CABILDO CASA LA MIEL)</x:v>
      </x:c>
      <x:c r="F99" s="38" t="str">
        <x:v>80011002</x:v>
      </x:c>
      <x:c r="G99" s="38" t="str">
        <x:v>UNIDAD VENTILACION CENTRIFUGO CADTM-7/7-4M 1/5 (1520 M3/H)</x:v>
      </x:c>
      <x:c r="H99" s="45" t="n">
        <x:v>2</x:v>
      </x:c>
      <x:c r="I99" s="47" t="n">
        <x:v>475</x:v>
      </x:c>
      <x:c r="J99" s="49" t="n">
        <x:v>0.5</x:v>
      </x:c>
      <x:c r="K99" s="51" t="n">
        <x:v>475</x:v>
      </x:c>
      <x:c r="L99" s="55" t="n">
        <x:v>0.07</x:v>
      </x:c>
    </x:row>
    <x:row r="100">
      <x:c r="B100" s="37" t="str">
        <x:v>Factura FM/6631</x:v>
      </x:c>
      <x:c r="C100" s="38" t="str">
        <x:v>Comercial Santana Alemán y González, S.L. (Grupo SAG)</x:v>
      </x:c>
      <x:c r="D100" s="38" t="str">
        <x:v>31/03/2026</x:v>
      </x:c>
      <x:c r="E100" s="38" t="str">
        <x:v>Albarán TF/26.000.902 (CABILDO CASA LA MIEL)</x:v>
      </x:c>
      <x:c r="F100" s="38" t="str">
        <x:v>1024171</x:v>
      </x:c>
      <x:c r="G100" s="38" t="str">
        <x:v>REGULADOR DE VELOCIDAD RM-02 (2 A)</x:v>
      </x:c>
      <x:c r="H100" s="45" t="n">
        <x:v>2</x:v>
      </x:c>
      <x:c r="I100" s="47" t="n">
        <x:v>107.7</x:v>
      </x:c>
      <x:c r="J100" s="49" t="n">
        <x:v>0.4</x:v>
      </x:c>
      <x:c r="K100" s="51" t="n">
        <x:v>129.24</x:v>
      </x:c>
      <x:c r="L100" s="55" t="n">
        <x:v>0.07</x:v>
      </x:c>
    </x:row>
    <x:row r="101">
      <x:c r="B101" s="37" t="str">
        <x:v>Factura FM/6631</x:v>
      </x:c>
      <x:c r="C101" s="38" t="str">
        <x:v>Comercial Santana Alemán y González, S.L. (Grupo SAG)</x:v>
      </x:c>
      <x:c r="D101" s="38" t="str">
        <x:v>31/03/2026</x:v>
      </x:c>
      <x:c r="E101" s="38" t="str">
        <x:v>Albarán TF/26.000.902 (CABILDO CASA LA MIEL)</x:v>
      </x:c>
      <x:c r="F101" s="38" t="str">
        <x:v>CG-CRT-0.8</x:v>
      </x:c>
      <x:c r="G101" s="38" t="str">
        <x:v>M2. CONDUCTO RECTANGULAR 0,8MM</x:v>
      </x:c>
      <x:c r="H101" s="45" t="n">
        <x:v>2</x:v>
      </x:c>
      <x:c r="I101" s="47" t="n">
        <x:v>27.02</x:v>
      </x:c>
      <x:c r="J101" s="49" t="n">
        <x:v>0.5</x:v>
      </x:c>
      <x:c r="K101" s="51" t="n">
        <x:v>27.02</x:v>
      </x:c>
      <x:c r="L101" s="55" t="n">
        <x:v>0.07</x:v>
      </x:c>
    </x:row>
    <x:row r="102">
      <x:c r="B102" s="37" t="str">
        <x:v>Factura FM/6631</x:v>
      </x:c>
      <x:c r="C102" s="38" t="str">
        <x:v>Comercial Santana Alemán y González, S.L. (Grupo SAG)</x:v>
      </x:c>
      <x:c r="D102" s="38" t="str">
        <x:v>31/03/2026</x:v>
      </x:c>
      <x:c r="E102" s="38" t="str">
        <x:v>Albarán TF/26.000.902 (CABILDO CASA LA MIEL)</x:v>
      </x:c>
      <x:c r="F102" s="38" t="str">
        <x:v>DF-MH-TU-400075</x:v>
      </x:c>
      <x:c r="G102" s="38" t="str">
        <x:v>REJILLA SIMPLE DEFLEXION MH-TU 400*075 MM (200-250 MM)</x:v>
      </x:c>
      <x:c r="H102" s="45" t="n">
        <x:v>4</x:v>
      </x:c>
      <x:c r="I102" s="47" t="n">
        <x:v>27.56</x:v>
      </x:c>
      <x:c r="J102" s="49" t="n">
        <x:v>0.4</x:v>
      </x:c>
      <x:c r="K102" s="51" t="n">
        <x:v>66.14</x:v>
      </x:c>
      <x:c r="L102" s="55" t="n">
        <x:v>0.07</x:v>
      </x:c>
    </x:row>
    <x:row r="103">
      <x:c r="B103" s="37" t="str">
        <x:v>Factura FM/6631</x:v>
      </x:c>
      <x:c r="C103" s="38" t="str">
        <x:v>Comercial Santana Alemán y González, S.L. (Grupo SAG)</x:v>
      </x:c>
      <x:c r="D103" s="38" t="str">
        <x:v>31/03/2026</x:v>
      </x:c>
      <x:c r="E103" s="38" t="str">
        <x:v>Albarán TF/26.000.902 (CABILDO CASA LA MIEL)</x:v>
      </x:c>
      <x:c r="F103" s="38" t="str">
        <x:v>CG-PF-CADTM77</x:v>
      </x:c>
      <x:c r="G103" s="38" t="str">
        <x:v>PICO FLAUTA CADTM-7/7 230*210 MM</x:v>
      </x:c>
      <x:c r="H103" s="45" t="n">
        <x:v>2</x:v>
      </x:c>
      <x:c r="I103" s="47" t="n">
        <x:v>64.2</x:v>
      </x:c>
      <x:c r="J103" s="49" t="n">
        <x:v>0.5</x:v>
      </x:c>
      <x:c r="K103" s="51" t="n">
        <x:v>64.2</x:v>
      </x:c>
      <x:c r="L103" s="55" t="n">
        <x:v>0.07</x:v>
      </x:c>
    </x:row>
    <x:row r="104">
      <x:c r="B104" s="37" t="str">
        <x:v>Factura FM/6631</x:v>
      </x:c>
      <x:c r="C104" s="38" t="str">
        <x:v>Comercial Santana Alemán y González, S.L. (Grupo SAG)</x:v>
      </x:c>
      <x:c r="D104" s="38" t="str">
        <x:v>31/03/2026</x:v>
      </x:c>
      <x:c r="E104" s="38" t="str">
        <x:v>Albarán TF/26.000.902 (CABILDO CASA LA MIEL)</x:v>
      </x:c>
      <x:c r="F104" s="38" t="str">
        <x:v>TAPA-7/7</x:v>
      </x:c>
      <x:c r="G104" s="38" t="str">
        <x:v>TAPA ASPIRACION 7/7 (410*370 MM)</x:v>
      </x:c>
      <x:c r="H104" s="45" t="n">
        <x:v>2</x:v>
      </x:c>
      <x:c r="I104" s="47" t="n">
        <x:v>29.68</x:v>
      </x:c>
      <x:c r="J104" s="49" t="n">
        <x:v>0.4</x:v>
      </x:c>
      <x:c r="K104" s="51" t="n">
        <x:v>35.62</x:v>
      </x:c>
      <x:c r="L104" s="55" t="n">
        <x:v>0.07</x:v>
      </x:c>
    </x:row>
    <x:row r="105">
      <x:c r="B105" s="37" t="str">
        <x:v>Factura FM/6631</x:v>
      </x:c>
      <x:c r="C105" s="38" t="str">
        <x:v>Comercial Santana Alemán y González, S.L. (Grupo SAG)</x:v>
      </x:c>
      <x:c r="D105" s="38" t="str">
        <x:v>31/03/2026</x:v>
      </x:c>
      <x:c r="E105" s="38" t="str">
        <x:v>Albarán NT/26.000.673</x:v>
      </x:c>
      <x:c r="F105" s="38" t="str">
        <x:v>CG-FILTRO-E</x:v>
      </x:c>
      <x:c r="G105" s="38" t="str">
        <x:v>FILTRO MARCO MET. MINIPLEGADO SERVIMINI M-2R G01 F7 569*419*48 MM</x:v>
      </x:c>
      <x:c r="H105" s="45" t="n">
        <x:v>1</x:v>
      </x:c>
      <x:c r="I105" s="47" t="n">
        <x:v>65.7</x:v>
      </x:c>
      <x:c r="J105" s="49" t="n">
        <x:v>0</x:v>
      </x:c>
      <x:c r="K105" s="51" t="n">
        <x:v>65.7</x:v>
      </x:c>
      <x:c r="L105" s="55" t="n">
        <x:v>0.07</x:v>
      </x:c>
    </x:row>
    <x:row r="106">
      <x:c r="B106" s="37" t="str">
        <x:v>Factura FM/6631</x:v>
      </x:c>
      <x:c r="C106" s="38" t="str">
        <x:v>Comercial Santana Alemán y González, S.L. (Grupo SAG)</x:v>
      </x:c>
      <x:c r="D106" s="38" t="str">
        <x:v>31/03/2026</x:v>
      </x:c>
      <x:c r="E106" s="38" t="str">
        <x:v>Albarán NT/26.000.673</x:v>
      </x:c>
      <x:c r="F106" s="38" t="str">
        <x:v>CG-FILTRO-E</x:v>
      </x:c>
      <x:c r="G106" s="38" t="str">
        <x:v>FILTRO MARCO MET. MINIPLEGADO SERVIMINI M-2R G01 F6 569*419*48 MM</x:v>
      </x:c>
      <x:c r="H106" s="45" t="n">
        <x:v>1</x:v>
      </x:c>
      <x:c r="I106" s="47" t="n">
        <x:v>65.7</x:v>
      </x:c>
      <x:c r="J106" s="49" t="n">
        <x:v>0</x:v>
      </x:c>
      <x:c r="K106" s="51" t="n">
        <x:v>65.7</x:v>
      </x:c>
      <x:c r="L106" s="55" t="n">
        <x:v>0.07</x:v>
      </x:c>
    </x:row>
    <x:row r="107">
      <x:c r="B107" s="37" t="str">
        <x:v>Factura FM/6631</x:v>
      </x:c>
      <x:c r="C107" s="38" t="str">
        <x:v>Comercial Santana Alemán y González, S.L. (Grupo SAG)</x:v>
      </x:c>
      <x:c r="D107" s="38" t="str">
        <x:v>31/03/2026</x:v>
      </x:c>
      <x:c r="E107" s="38" t="str">
        <x:v>Albarán NT/26.000.673</x:v>
      </x:c>
      <x:c r="F107" s="38" t="str">
        <x:v>CG-FILTRO-E</x:v>
      </x:c>
      <x:c r="G107" s="38" t="str">
        <x:v>FILTRO MARCO MET. MINIPLEGADO SERVIMINI M-2R G01 F7 495*265*48 MM</x:v>
      </x:c>
      <x:c r="H107" s="45" t="n">
        <x:v>1</x:v>
      </x:c>
      <x:c r="I107" s="47" t="n">
        <x:v>45.7</x:v>
      </x:c>
      <x:c r="J107" s="49" t="n">
        <x:v>0</x:v>
      </x:c>
      <x:c r="K107" s="51" t="n">
        <x:v>45.7</x:v>
      </x:c>
      <x:c r="L107" s="55" t="n">
        <x:v>0.07</x:v>
      </x:c>
    </x:row>
    <x:row r="108">
      <x:c r="B108" s="37" t="str">
        <x:v>Factura FM/6631</x:v>
      </x:c>
      <x:c r="C108" s="38" t="str">
        <x:v>Comercial Santana Alemán y González, S.L. (Grupo SAG)</x:v>
      </x:c>
      <x:c r="D108" s="38" t="str">
        <x:v>31/03/2026</x:v>
      </x:c>
      <x:c r="E108" s="38" t="str">
        <x:v>Albarán NT/26.000.673</x:v>
      </x:c>
      <x:c r="F108" s="38" t="str">
        <x:v>CG-FILTRO-E</x:v>
      </x:c>
      <x:c r="G108" s="38" t="str">
        <x:v>FILTRO MARCO MET. MINIPLEGADO SERVIMINI M-2R G01 F6 495*265*48 MM</x:v>
      </x:c>
      <x:c r="H108" s="45" t="n">
        <x:v>1</x:v>
      </x:c>
      <x:c r="I108" s="47" t="n">
        <x:v>45.7</x:v>
      </x:c>
      <x:c r="J108" s="49" t="n">
        <x:v>0</x:v>
      </x:c>
      <x:c r="K108" s="51" t="n">
        <x:v>45.7</x:v>
      </x:c>
      <x:c r="L108" s="55" t="n">
        <x:v>0.07</x:v>
      </x:c>
    </x:row>
    <x:row r="109">
      <x:c r="B109" s="37" t="str">
        <x:v>Factura FM/6631</x:v>
      </x:c>
      <x:c r="C109" s="38" t="str">
        <x:v>Comercial Santana Alemán y González, S.L. (Grupo SAG)</x:v>
      </x:c>
      <x:c r="D109" s="38" t="str">
        <x:v>31/03/2026</x:v>
      </x:c>
      <x:c r="E109" s="38" t="str">
        <x:v>Albarán NT/26.000.673</x:v>
      </x:c>
      <x:c r="F109" s="38" t="str">
        <x:v>CG-MAN-200</x:v>
      </x:c>
      <x:c r="G109" s="38" t="str">
        <x:v>MANGUITO GALVANIZADO DE 200 MM</x:v>
      </x:c>
      <x:c r="H109" s="45" t="n">
        <x:v>-2</x:v>
      </x:c>
      <x:c r="I109" s="47" t="n">
        <x:v>5.998</x:v>
      </x:c>
      <x:c r="J109" s="49" t="n">
        <x:v>0.5</x:v>
      </x:c>
      <x:c r="K109" s="51" t="n">
        <x:v>-6</x:v>
      </x:c>
      <x:c r="L109" s="55" t="n">
        <x:v>0.07</x:v>
      </x:c>
    </x:row>
    <x:row r="110">
      <x:c r="B110" s="37" t="str">
        <x:v>Factura FM/6631</x:v>
      </x:c>
      <x:c r="C110" s="38" t="str">
        <x:v>Comercial Santana Alemán y González, S.L. (Grupo SAG)</x:v>
      </x:c>
      <x:c r="D110" s="38" t="str">
        <x:v>31/03/2026</x:v>
      </x:c>
      <x:c r="E110" s="38" t="str">
        <x:v>Albarán NT/26.000.673</x:v>
      </x:c>
      <x:c r="F110" s="38" t="str">
        <x:v>15580200</x:v>
      </x:c>
      <x:c r="G110" s="38" t="str">
        <x:v>ABRAZ. RM8+M10-200</x:v>
      </x:c>
      <x:c r="H110" s="45" t="n">
        <x:v>-4</x:v>
      </x:c>
      <x:c r="I110" s="47" t="n">
        <x:v>3.08</x:v>
      </x:c>
      <x:c r="J110" s="49" t="n">
        <x:v>0.55</x:v>
      </x:c>
      <x:c r="K110" s="51" t="n">
        <x:v>-5.54</x:v>
      </x:c>
      <x:c r="L110" s="55" t="n">
        <x:v>0.07</x:v>
      </x:c>
    </x:row>
    <x:row r="111">
      <x:c r="B111" s="37" t="str">
        <x:v>Factura FM/6631</x:v>
      </x:c>
      <x:c r="C111" s="38" t="str">
        <x:v>Comercial Santana Alemán y González, S.L. (Grupo SAG)</x:v>
      </x:c>
      <x:c r="D111" s="38" t="str">
        <x:v>31/03/2026</x:v>
      </x:c>
      <x:c r="E111" s="38" t="str">
        <x:v>Albarán NT/26.000.673</x:v>
      </x:c>
      <x:c r="F111" s="38" t="str">
        <x:v>4002053</x:v>
      </x:c>
      <x:c r="G111" s="38" t="str">
        <x:v>ROLLO TUBERIA DE COBRE PREAISLADO BITUBO 1/4 X 3/8 20 M.</x:v>
      </x:c>
      <x:c r="H111" s="45" t="n">
        <x:v>2</x:v>
      </x:c>
      <x:c r="I111" s="47" t="n">
        <x:v>110</x:v>
      </x:c>
      <x:c r="J111" s="49" t="n">
        <x:v>0</x:v>
      </x:c>
      <x:c r="K111" s="51" t="n">
        <x:v>220</x:v>
      </x:c>
      <x:c r="L111" s="55" t="n">
        <x:v>0.07</x:v>
      </x:c>
    </x:row>
    <x:row r="112">
      <x:c r="B112" s="37" t="str">
        <x:v>Presupuesto TF/26001807</x:v>
      </x:c>
      <x:c r="C112" s="38" t="str">
        <x:v>Comercial Santana Alemán y González, S.L. (Grupo SAG)</x:v>
      </x:c>
      <x:c r="D112" s="38" t="str">
        <x:v>25/05/2026</x:v>
      </x:c>
      <x:c r="E112" s="38" t="str">
        <x:v>INDEX CLIMA MPC, S.L.</x:v>
      </x:c>
      <x:c r="F112" s="38" t="str">
        <x:v>DF-MH-500300</x:v>
      </x:c>
      <x:c r="G112" s="38" t="str">
        <x:v>REJILLA DE LAMAS ORIENTABLES SIMPLE DEFLEXION MH 500*300 (CLIP DE SUJECION)</x:v>
      </x:c>
      <x:c r="H112" s="45" t="n">
        <x:v>25</x:v>
      </x:c>
      <x:c r="I112" s="47" t="n">
        <x:v>34.06</x:v>
      </x:c>
      <x:c r="J112" s="49" t="n">
        <x:v>0.4</x:v>
      </x:c>
      <x:c r="K112" s="51" t="n">
        <x:v>510.9</x:v>
      </x:c>
      <x:c r="L112" s="55" t="n">
        <x:v>0.07</x:v>
      </x:c>
    </x:row>
    <x:row r="113">
      <x:c r="B113" s="37" t="str">
        <x:v>Presupuesto TF/26001807</x:v>
      </x:c>
      <x:c r="C113" s="38" t="str">
        <x:v>Comercial Santana Alemán y González, S.L. (Grupo SAG)</x:v>
      </x:c>
      <x:c r="D113" s="38" t="str">
        <x:v>25/05/2026</x:v>
      </x:c>
      <x:c r="E113" s="38" t="str">
        <x:v>INDEX CLIMA MPC, S.L.</x:v>
      </x:c>
      <x:c r="F113" s="38" t="str">
        <x:v>DF-RRF-500300</x:v>
      </x:c>
      <x:c r="G113" s="38" t="str">
        <x:v>REJILLA DE LAMAS FIJAS A 45º RRF 500*300 (PERFORADA)</x:v>
      </x:c>
      <x:c r="H113" s="45" t="n">
        <x:v>16</x:v>
      </x:c>
      <x:c r="I113" s="47" t="n">
        <x:v>37.47</x:v>
      </x:c>
      <x:c r="J113" s="49" t="n">
        <x:v>0.4</x:v>
      </x:c>
      <x:c r="K113" s="51" t="n">
        <x:v>359.71</x:v>
      </x:c>
      <x:c r="L113" s="55" t="n">
        <x:v>0.07</x:v>
      </x:c>
    </x:row>
    <x:row r="114">
      <x:c r="B114" s="37" t="str">
        <x:v>Presupuesto TF/26001807</x:v>
      </x:c>
      <x:c r="C114" s="38" t="str">
        <x:v>Comercial Santana Alemán y González, S.L. (Grupo SAG)</x:v>
      </x:c>
      <x:c r="D114" s="38" t="str">
        <x:v>25/05/2026</x:v>
      </x:c>
      <x:c r="E114" s="38" t="str">
        <x:v>INDEX CLIMA MPC, S.L.</x:v>
      </x:c>
      <x:c r="F114" s="38" t="str">
        <x:v>DF-MR-00500</x:v>
      </x:c>
      <x:c r="G114" s="38" t="str">
        <x:v>LISTON METALICO PARA REJILLA MOD. MR-500</x:v>
      </x:c>
      <x:c r="H114" s="45" t="n">
        <x:v>50</x:v>
      </x:c>
      <x:c r="I114" s="47" t="n">
        <x:v>2.35</x:v>
      </x:c>
      <x:c r="J114" s="49" t="n">
        <x:v>0.4</x:v>
      </x:c>
      <x:c r="K114" s="51" t="n">
        <x:v>70.5</x:v>
      </x:c>
      <x:c r="L114" s="55" t="n">
        <x:v>0.07</x:v>
      </x:c>
    </x:row>
    <x:row r="115">
      <x:c r="B115" s="37" t="str">
        <x:v>Presupuesto TF/26001807</x:v>
      </x:c>
      <x:c r="C115" s="38" t="str">
        <x:v>Comercial Santana Alemán y González, S.L. (Grupo SAG)</x:v>
      </x:c>
      <x:c r="D115" s="38" t="str">
        <x:v>25/05/2026</x:v>
      </x:c>
      <x:c r="E115" s="38" t="str">
        <x:v>INDEX CLIMA MPC, S.L.</x:v>
      </x:c>
      <x:c r="F115" s="38" t="str">
        <x:v>DF-MR-00300</x:v>
      </x:c>
      <x:c r="G115" s="38" t="str">
        <x:v>LISTON METALICO PARA REJILLA MOD. MR-300</x:v>
      </x:c>
      <x:c r="H115" s="45" t="n">
        <x:v>50</x:v>
      </x:c>
      <x:c r="I115" s="47" t="n">
        <x:v>1.75</x:v>
      </x:c>
      <x:c r="J115" s="49" t="n">
        <x:v>0.4</x:v>
      </x:c>
      <x:c r="K115" s="51" t="n">
        <x:v>52.5</x:v>
      </x:c>
      <x:c r="L115" s="55" t="n">
        <x:v>0.07</x:v>
      </x:c>
    </x:row>
    <x:row r="116">
      <x:c r="B116" s="37" t="str">
        <x:v>Factura FM/5127</x:v>
      </x:c>
      <x:c r="C116" s="38" t="str">
        <x:v>Comercial Santana Alemán y González, S.L. (Grupo SAG)</x:v>
      </x:c>
      <x:c r="D116" s="38" t="str">
        <x:v>30/06/2025</x:v>
      </x:c>
      <x:c r="E116" s="38" t="str">
        <x:v>Albarán NT/25.001.720</x:v>
      </x:c>
      <x:c r="F116" s="38" t="str">
        <x:v>CG-THG-0125</x:v>
      </x:c>
      <x:c r="G116" s="38" t="str">
        <x:v>ML TUBO HELICOIDAL GALVA MARCA SAG DE 125 MM (3 METROS)</x:v>
      </x:c>
      <x:c r="H116" s="45" t="n">
        <x:v>12</x:v>
      </x:c>
      <x:c r="I116" s="47" t="n">
        <x:v>11.1</x:v>
      </x:c>
      <x:c r="J116" s="49" t="n">
        <x:v>0.5</x:v>
      </x:c>
      <x:c r="K116" s="51" t="n">
        <x:v>66.6</x:v>
      </x:c>
      <x:c r="L116" s="55" t="n">
        <x:v>0.07</x:v>
      </x:c>
    </x:row>
    <x:row r="117">
      <x:c r="B117" s="37" t="str">
        <x:v>Factura FM/5127</x:v>
      </x:c>
      <x:c r="C117" s="38" t="str">
        <x:v>Comercial Santana Alemán y González, S.L. (Grupo SAG)</x:v>
      </x:c>
      <x:c r="D117" s="38" t="str">
        <x:v>30/06/2025</x:v>
      </x:c>
      <x:c r="E117" s="38" t="str">
        <x:v>Albarán NT/25.001.720</x:v>
      </x:c>
      <x:c r="F117" s="38" t="str">
        <x:v>CG-MAN-125</x:v>
      </x:c>
      <x:c r="G117" s="38" t="str">
        <x:v>MANGUITO GALVANIZADO DE 125 MM</x:v>
      </x:c>
      <x:c r="H117" s="45" t="n">
        <x:v>3</x:v>
      </x:c>
      <x:c r="I117" s="47" t="n">
        <x:v>4.116</x:v>
      </x:c>
      <x:c r="J117" s="49" t="n">
        <x:v>0.5</x:v>
      </x:c>
      <x:c r="K117" s="51" t="n">
        <x:v>6.17</x:v>
      </x:c>
      <x:c r="L117" s="55" t="n">
        <x:v>0.07</x:v>
      </x:c>
    </x:row>
    <x:row r="118">
      <x:c r="B118" s="37" t="str">
        <x:v>Factura FM/5127</x:v>
      </x:c>
      <x:c r="C118" s="38" t="str">
        <x:v>Comercial Santana Alemán y González, S.L. (Grupo SAG)</x:v>
      </x:c>
      <x:c r="D118" s="38" t="str">
        <x:v>30/06/2025</x:v>
      </x:c>
      <x:c r="E118" s="38" t="str">
        <x:v>Albarán NT/25.001.720</x:v>
      </x:c>
      <x:c r="F118" s="38" t="str">
        <x:v>15580125</x:v>
      </x:c>
      <x:c r="G118" s="38" t="str">
        <x:v>ABRAZ. RM8+M10-125 (4 1/2")</x:v>
      </x:c>
      <x:c r="H118" s="45" t="n">
        <x:v>8</x:v>
      </x:c>
      <x:c r="I118" s="47" t="n">
        <x:v>1.584</x:v>
      </x:c>
      <x:c r="J118" s="49" t="n">
        <x:v>0.45</x:v>
      </x:c>
      <x:c r="K118" s="51" t="n">
        <x:v>6.97</x:v>
      </x:c>
      <x:c r="L118" s="55" t="n">
        <x:v>0.07</x:v>
      </x:c>
    </x:row>
    <x:row r="119">
      <x:c r="B119" s="37" t="str">
        <x:v>Factura FM/5127</x:v>
      </x:c>
      <x:c r="C119" s="38" t="str">
        <x:v>Comercial Santana Alemán y González, S.L. (Grupo SAG)</x:v>
      </x:c>
      <x:c r="D119" s="38" t="str">
        <x:v>30/06/2025</x:v>
      </x:c>
      <x:c r="E119" s="38" t="str">
        <x:v>Albarán NT/25.001.720</x:v>
      </x:c>
      <x:c r="F119" s="38" t="str">
        <x:v>CG-RD-125100</x:v>
      </x:c>
      <x:c r="G119" s="38" t="str">
        <x:v>REDUCCION GALVANIZADA DE 125 A 100 MM</x:v>
      </x:c>
      <x:c r="H119" s="45" t="n">
        <x:v>1</x:v>
      </x:c>
      <x:c r="I119" s="47" t="n">
        <x:v>6.04</x:v>
      </x:c>
      <x:c r="J119" s="49" t="n">
        <x:v>0.5</x:v>
      </x:c>
      <x:c r="K119" s="51" t="n">
        <x:v>3.02</x:v>
      </x:c>
      <x:c r="L119" s="55" t="n">
        <x:v>0.07</x:v>
      </x:c>
    </x:row>
    <x:row r="120">
      <x:c r="B120" s="37" t="str">
        <x:v>Factura FM/5127</x:v>
      </x:c>
      <x:c r="C120" s="38" t="str">
        <x:v>Comercial Santana Alemán y González, S.L. (Grupo SAG)</x:v>
      </x:c>
      <x:c r="D120" s="38" t="str">
        <x:v>30/06/2025</x:v>
      </x:c>
      <x:c r="E120" s="38" t="str">
        <x:v>Albarán NT/25.001.720</x:v>
      </x:c>
      <x:c r="F120" s="38" t="str">
        <x:v>CG-INJ90-150100</x:v>
      </x:c>
      <x:c r="G120" s="38" t="str">
        <x:v>INJERTO DE 90º 150/100 MM</x:v>
      </x:c>
      <x:c r="H120" s="45" t="n">
        <x:v>1</x:v>
      </x:c>
      <x:c r="I120" s="47" t="n">
        <x:v>4.52</x:v>
      </x:c>
      <x:c r="J120" s="49" t="n">
        <x:v>0.5</x:v>
      </x:c>
      <x:c r="K120" s="51" t="n">
        <x:v>2.26</x:v>
      </x:c>
      <x:c r="L120" s="55" t="n">
        <x:v>0.07</x:v>
      </x:c>
    </x:row>
    <x:row r="121">
      <x:c r="B121" s="37" t="str">
        <x:v>Factura FM/5127</x:v>
      </x:c>
      <x:c r="C121" s="38" t="str">
        <x:v>Comercial Santana Alemán y González, S.L. (Grupo SAG)</x:v>
      </x:c>
      <x:c r="D121" s="38" t="str">
        <x:v>30/06/2025</x:v>
      </x:c>
      <x:c r="E121" s="38" t="str">
        <x:v>Albarán NT/25.001.720</x:v>
      </x:c>
      <x:c r="F121" s="38" t="str">
        <x:v>CG-COD90-125</x:v>
      </x:c>
      <x:c r="G121" s="38" t="str">
        <x:v>CODO GALVANIZADO 90º 125 MM</x:v>
      </x:c>
      <x:c r="H121" s="45" t="n">
        <x:v>2</x:v>
      </x:c>
      <x:c r="I121" s="47" t="n">
        <x:v>12.33</x:v>
      </x:c>
      <x:c r="J121" s="49" t="n">
        <x:v>0.5</x:v>
      </x:c>
      <x:c r="K121" s="51" t="n">
        <x:v>12.33</x:v>
      </x:c>
      <x:c r="L121" s="55" t="n">
        <x:v>0.07</x:v>
      </x:c>
    </x:row>
    <x:row r="122">
      <x:c r="B122" s="37" t="str">
        <x:v>Factura FM/5127</x:v>
      </x:c>
      <x:c r="C122" s="38" t="str">
        <x:v>Comercial Santana Alemán y González, S.L. (Grupo SAG)</x:v>
      </x:c>
      <x:c r="D122" s="38" t="str">
        <x:v>30/06/2025</x:v>
      </x:c>
      <x:c r="E122" s="38" t="str">
        <x:v>Albarán NT/25.001.720</x:v>
      </x:c>
      <x:c r="F122" s="38" t="str">
        <x:v>CG-COD90-100</x:v>
      </x:c>
      <x:c r="G122" s="38" t="str">
        <x:v>CODO GALVANIZADO 90º 100 MM</x:v>
      </x:c>
      <x:c r="H122" s="45" t="n">
        <x:v>2</x:v>
      </x:c>
      <x:c r="I122" s="47" t="n">
        <x:v>9.2</x:v>
      </x:c>
      <x:c r="J122" s="49" t="n">
        <x:v>0.5</x:v>
      </x:c>
      <x:c r="K122" s="51" t="n">
        <x:v>9.2</x:v>
      </x:c>
      <x:c r="L122" s="55" t="n">
        <x:v>0.07</x:v>
      </x:c>
    </x:row>
    <x:row r="123">
      <x:c r="B123" s="37" t="str">
        <x:v>Factura FM/5127</x:v>
      </x:c>
      <x:c r="C123" s="38" t="str">
        <x:v>Comercial Santana Alemán y González, S.L. (Grupo SAG)</x:v>
      </x:c>
      <x:c r="D123" s="38" t="str">
        <x:v>30/06/2025</x:v>
      </x:c>
      <x:c r="E123" s="38" t="str">
        <x:v>Albarán NT/25.001.720</x:v>
      </x:c>
      <x:c r="F123" s="38" t="str">
        <x:v>CF-REG-100</x:v>
      </x:c>
      <x:c r="G123" s="38" t="str">
        <x:v>COMPUERTA DE REGULACION CIRCULAR 100 MM</x:v>
      </x:c>
      <x:c r="H123" s="45" t="n">
        <x:v>3</x:v>
      </x:c>
      <x:c r="I123" s="47" t="n">
        <x:v>16.37</x:v>
      </x:c>
      <x:c r="J123" s="49" t="n">
        <x:v>0.4</x:v>
      </x:c>
      <x:c r="K123" s="51" t="n">
        <x:v>29.47</x:v>
      </x:c>
      <x:c r="L123" s="55" t="n">
        <x:v>0.07</x:v>
      </x:c>
    </x:row>
    <x:row r="124">
      <x:c r="B124" s="37" t="str">
        <x:v>Factura FM/5127</x:v>
      </x:c>
      <x:c r="C124" s="38" t="str">
        <x:v>Comercial Santana Alemán y González, S.L. (Grupo SAG)</x:v>
      </x:c>
      <x:c r="D124" s="38" t="str">
        <x:v>30/06/2025</x:v>
      </x:c>
      <x:c r="E124" s="38" t="str">
        <x:v>Albarán NT/25.001.720</x:v>
      </x:c>
      <x:c r="F124" s="38" t="str">
        <x:v>CG-CRN-0100</x:v>
      </x:c>
      <x:c r="G124" s="38" t="str">
        <x:v>CORONA DE 100 MM</x:v>
      </x:c>
      <x:c r="H124" s="45" t="n">
        <x:v>3</x:v>
      </x:c>
      <x:c r="I124" s="47" t="n">
        <x:v>2.5</x:v>
      </x:c>
      <x:c r="J124" s="49" t="n">
        <x:v>0.5</x:v>
      </x:c>
      <x:c r="K124" s="51" t="n">
        <x:v>3.75</x:v>
      </x:c>
      <x:c r="L124" s="55" t="n">
        <x:v>0.07</x:v>
      </x:c>
    </x:row>
    <x:row r="125">
      <x:c r="B125" s="37" t="str">
        <x:v>Albarán NT/25001832</x:v>
      </x:c>
      <x:c r="C125" s="38" t="str">
        <x:v>Comercial Santana Alemán y González, S.L. (Grupo SAG)</x:v>
      </x:c>
      <x:c r="D125" s="38" t="str">
        <x:v>10/07/2025</x:v>
      </x:c>
      <x:c r="E125" s="38" t="str">
        <x:v>TIENDA (EL CHORRILLO)</x:v>
      </x:c>
      <x:c r="F125" s="38" t="str">
        <x:v>15580125</x:v>
      </x:c>
      <x:c r="G125" s="38" t="str">
        <x:v>ABRAZ. RM8+M10-125 (4 1/2")</x:v>
      </x:c>
      <x:c r="H125" s="45" t="n">
        <x:v>-4</x:v>
      </x:c>
      <x:c r="I125" s="47" t="n">
        <x:v>1.583636</x:v>
      </x:c>
      <x:c r="J125" s="49" t="n">
        <x:v>0.45</x:v>
      </x:c>
      <x:c r="K125" s="51" t="n">
        <x:v>-3.48</x:v>
      </x:c>
      <x:c r="L125" s="55" t="n">
        <x:v>0.07</x:v>
      </x:c>
    </x:row>
    <x:row r="126">
      <x:c r="B126" s="37" t="str">
        <x:v>Albarán NT/25001832</x:v>
      </x:c>
      <x:c r="C126" s="38" t="str">
        <x:v>Comercial Santana Alemán y González, S.L. (Grupo SAG)</x:v>
      </x:c>
      <x:c r="D126" s="38" t="str">
        <x:v>10/07/2025</x:v>
      </x:c>
      <x:c r="E126" s="38" t="str">
        <x:v>TIENDA (EL CHORRILLO)</x:v>
      </x:c>
      <x:c r="F126" s="38" t="str">
        <x:v>CF-REG-100</x:v>
      </x:c>
      <x:c r="G126" s="38" t="str">
        <x:v>COMPUERTA DE REGULACION CIRCULAR 100 MM</x:v>
      </x:c>
      <x:c r="H126" s="45" t="n">
        <x:v>-3</x:v>
      </x:c>
      <x:c r="I126" s="47" t="n">
        <x:v>16.37</x:v>
      </x:c>
      <x:c r="J126" s="49" t="n">
        <x:v>0.4</x:v>
      </x:c>
      <x:c r="K126" s="51" t="n">
        <x:v>-29.47</x:v>
      </x:c>
      <x:c r="L126" s="55" t="n">
        <x:v>0.07</x:v>
      </x:c>
    </x:row>
    <x:row r="127">
      <x:c r="B127" s="37" t="str">
        <x:v>Albarán NT/25001832</x:v>
      </x:c>
      <x:c r="C127" s="38" t="str">
        <x:v>Comercial Santana Alemán y González, S.L. (Grupo SAG)</x:v>
      </x:c>
      <x:c r="D127" s="38" t="str">
        <x:v>10/07/2025</x:v>
      </x:c>
      <x:c r="E127" s="38" t="str">
        <x:v>TIENDA (EL CHORRILLO)</x:v>
      </x:c>
      <x:c r="F127" s="38" t="str">
        <x:v>CG-CRN-0100</x:v>
      </x:c>
      <x:c r="G127" s="38" t="str">
        <x:v>CORONA DE 100 MM</x:v>
      </x:c>
      <x:c r="H127" s="45" t="n">
        <x:v>-3</x:v>
      </x:c>
      <x:c r="I127" s="47" t="n">
        <x:v>2.5</x:v>
      </x:c>
      <x:c r="J127" s="49" t="n">
        <x:v>0.5</x:v>
      </x:c>
      <x:c r="K127" s="51" t="n">
        <x:v>-3.75</x:v>
      </x:c>
      <x:c r="L127" s="55" t="n">
        <x:v>0.07</x:v>
      </x:c>
    </x:row>
    <x:row r="128">
      <x:c r="B128" s="37" t="str">
        <x:v>Albarán NT/25001832</x:v>
      </x:c>
      <x:c r="C128" s="38" t="str">
        <x:v>Comercial Santana Alemán y González, S.L. (Grupo SAG)</x:v>
      </x:c>
      <x:c r="D128" s="38" t="str">
        <x:v>10/07/2025</x:v>
      </x:c>
      <x:c r="E128" s="38" t="str">
        <x:v>TIENDA (EL CHORRILLO)</x:v>
      </x:c>
      <x:c r="F128" s="38" t="str">
        <x:v>CG-COD90-100</x:v>
      </x:c>
      <x:c r="G128" s="38" t="str">
        <x:v>CODO GALVANIZADO 90º 100 MM</x:v>
      </x:c>
      <x:c r="H128" s="45" t="n">
        <x:v>-4</x:v>
      </x:c>
      <x:c r="I128" s="47" t="n">
        <x:v>9.2</x:v>
      </x:c>
      <x:c r="J128" s="49" t="n">
        <x:v>0.5</x:v>
      </x:c>
      <x:c r="K128" s="51" t="n">
        <x:v>-18.4</x:v>
      </x:c>
      <x:c r="L128" s="55" t="n">
        <x:v>0.07</x:v>
      </x:c>
    </x:row>
    <x:row r="129">
      <x:c r="B129" s="37" t="str">
        <x:v>Albarán NT/25001832</x:v>
      </x:c>
      <x:c r="C129" s="38" t="str">
        <x:v>Comercial Santana Alemán y González, S.L. (Grupo SAG)</x:v>
      </x:c>
      <x:c r="D129" s="38" t="str">
        <x:v>10/07/2025</x:v>
      </x:c>
      <x:c r="E129" s="38" t="str">
        <x:v>TIENDA (EL CHORRILLO)</x:v>
      </x:c>
      <x:c r="F129" s="38" t="str">
        <x:v>CG-COD90-125</x:v>
      </x:c>
      <x:c r="G129" s="38" t="str">
        <x:v>CODO GALVANIZADO 90º 125 MM</x:v>
      </x:c>
      <x:c r="H129" s="45" t="n">
        <x:v>-2</x:v>
      </x:c>
      <x:c r="I129" s="47" t="n">
        <x:v>12.33</x:v>
      </x:c>
      <x:c r="J129" s="49" t="n">
        <x:v>0.5</x:v>
      </x:c>
      <x:c r="K129" s="51" t="n">
        <x:v>-12.33</x:v>
      </x:c>
      <x:c r="L129" s="55" t="n">
        <x:v>0.07</x:v>
      </x:c>
    </x:row>
    <x:row r="130">
      <x:c r="B130" s="37" t="str">
        <x:v>Albarán NT/25001832</x:v>
      </x:c>
      <x:c r="C130" s="38" t="str">
        <x:v>Comercial Santana Alemán y González, S.L. (Grupo SAG)</x:v>
      </x:c>
      <x:c r="D130" s="38" t="str">
        <x:v>10/07/2025</x:v>
      </x:c>
      <x:c r="E130" s="38" t="str">
        <x:v>TIENDA (EL CHORRILLO)</x:v>
      </x:c>
      <x:c r="F130" s="38" t="str">
        <x:v>CG-MAN-100</x:v>
      </x:c>
      <x:c r="G130" s="38" t="str">
        <x:v>MANGUITO GALVANIZADO DE 100 MM</x:v>
      </x:c>
      <x:c r="H130" s="45" t="n">
        <x:v>-2</x:v>
      </x:c>
      <x:c r="I130" s="47" t="n">
        <x:v>3.75</x:v>
      </x:c>
      <x:c r="J130" s="49" t="n">
        <x:v>0.5</x:v>
      </x:c>
      <x:c r="K130" s="51" t="n">
        <x:v>-3.75</x:v>
      </x:c>
      <x:c r="L130" s="55" t="n">
        <x:v>0.07</x:v>
      </x:c>
    </x:row>
    <x:row r="131">
      <x:c r="B131" s="37" t="str">
        <x:v>Albarán NT/25001832</x:v>
      </x:c>
      <x:c r="C131" s="38" t="str">
        <x:v>Comercial Santana Alemán y González, S.L. (Grupo SAG)</x:v>
      </x:c>
      <x:c r="D131" s="38" t="str">
        <x:v>10/07/2025</x:v>
      </x:c>
      <x:c r="E131" s="38" t="str">
        <x:v>TIENDA (EL CHORRILLO)</x:v>
      </x:c>
      <x:c r="F131" s="38" t="str">
        <x:v>CG-MAN-125</x:v>
      </x:c>
      <x:c r="G131" s="38" t="str">
        <x:v>MANGUITO GALVANIZADO DE 125 MM</x:v>
      </x:c>
      <x:c r="H131" s="45" t="n">
        <x:v>-1</x:v>
      </x:c>
      <x:c r="I131" s="47" t="n">
        <x:v>4.116</x:v>
      </x:c>
      <x:c r="J131" s="49" t="n">
        <x:v>0.5</x:v>
      </x:c>
      <x:c r="K131" s="51" t="n">
        <x:v>-2.06</x:v>
      </x:c>
      <x:c r="L131" s="55" t="n">
        <x:v>0.07</x:v>
      </x:c>
    </x:row>
    <x:row r="132">
      <x:c r="B132" s="37" t="str">
        <x:v>Albarán NT/25001832</x:v>
      </x:c>
      <x:c r="C132" s="38" t="str">
        <x:v>Comercial Santana Alemán y González, S.L. (Grupo SAG)</x:v>
      </x:c>
      <x:c r="D132" s="38" t="str">
        <x:v>10/07/2025</x:v>
      </x:c>
      <x:c r="E132" s="38" t="str">
        <x:v>TIENDA (EL CHORRILLO)</x:v>
      </x:c>
      <x:c r="F132" s="38" t="str">
        <x:v>CG-INJ90-250100</x:v>
      </x:c>
      <x:c r="G132" s="38" t="str">
        <x:v>INJERTO DE 90º 250/100 MM</x:v>
      </x:c>
      <x:c r="H132" s="45" t="n">
        <x:v>-1</x:v>
      </x:c>
      <x:c r="I132" s="47" t="n">
        <x:v>9.3</x:v>
      </x:c>
      <x:c r="J132" s="49" t="n">
        <x:v>0.5</x:v>
      </x:c>
      <x:c r="K132" s="51" t="n">
        <x:v>-4.65</x:v>
      </x:c>
      <x:c r="L132" s="55" t="n">
        <x:v>0.07</x:v>
      </x:c>
    </x:row>
    <x:row r="133">
      <x:c r="B133" s="37" t="str">
        <x:v>Albarán NT/25001832</x:v>
      </x:c>
      <x:c r="C133" s="38" t="str">
        <x:v>Comercial Santana Alemán y González, S.L. (Grupo SAG)</x:v>
      </x:c>
      <x:c r="D133" s="38" t="str">
        <x:v>10/07/2025</x:v>
      </x:c>
      <x:c r="E133" s="38" t="str">
        <x:v>TIENDA (EL CHORRILLO)</x:v>
      </x:c>
      <x:c r="F133" s="38" t="str">
        <x:v>15580100</x:v>
      </x:c>
      <x:c r="G133" s="38" t="str">
        <x:v>ABRAZ. RM8+M10-100 (3 1/2")</x:v>
      </x:c>
      <x:c r="H133" s="45" t="n">
        <x:v>-7</x:v>
      </x:c>
      <x:c r="I133" s="47" t="n">
        <x:v>1.46</x:v>
      </x:c>
      <x:c r="J133" s="49" t="n">
        <x:v>0.45</x:v>
      </x:c>
      <x:c r="K133" s="51" t="n">
        <x:v>-5.62</x:v>
      </x:c>
      <x:c r="L133" s="55" t="n">
        <x:v>0.07</x:v>
      </x:c>
    </x:row>
    <x:row r="134">
      <x:c r="B134" s="37" t="str">
        <x:v>Presupuesto TF/26001424</x:v>
      </x:c>
      <x:c r="C134" s="38" t="str">
        <x:v>Comercial Santana Alemán y González, S.L. (Grupo SAG)</x:v>
      </x:c>
      <x:c r="D134" s="38" t="str">
        <x:v>25/04/2026</x:v>
      </x:c>
      <x:c r="E134" s="38" t="str">
        <x:v>INDEX CLIMA MPC, S.L.</x:v>
      </x:c>
      <x:c r="F134" s="38" t="str">
        <x:v>RXYSA6AV1</x:v>
      </x:c>
      <x:c r="G134" s="38" t="str">
        <x:v>UNIDAD EXT. VRV 5 R-32 DAIKIN MOD. RXYSA6AV1</x:v>
      </x:c>
      <x:c r="H134" s="45" t="n">
        <x:v>1</x:v>
      </x:c>
      <x:c r="I134" s="47" t="n">
        <x:v>8951</x:v>
      </x:c>
      <x:c r="J134" s="49" t="n">
        <x:v>0.45</x:v>
      </x:c>
      <x:c r="K134" s="51" t="n">
        <x:v>4923.05</x:v>
      </x:c>
      <x:c r="L134" s="55" t="n">
        <x:v>0.07</x:v>
      </x:c>
    </x:row>
    <x:row r="135">
      <x:c r="B135" s="37" t="str">
        <x:v>Presupuesto TF/26001424</x:v>
      </x:c>
      <x:c r="C135" s="38" t="str">
        <x:v>Comercial Santana Alemán y González, S.L. (Grupo SAG)</x:v>
      </x:c>
      <x:c r="D135" s="38" t="str">
        <x:v>25/04/2026</x:v>
      </x:c>
      <x:c r="E135" s="38" t="str">
        <x:v>INDEX CLIMA MPC, S.L.</x:v>
      </x:c>
      <x:c r="F135" s="38" t="str">
        <x:v>FXAA25A</x:v>
      </x:c>
      <x:c r="G135" s="38" t="str">
        <x:v>UNIDAD DE PARED VRV DAIKIN R-32 MOD. FXAA25A</x:v>
      </x:c>
      <x:c r="H135" s="45" t="n">
        <x:v>2</x:v>
      </x:c>
      <x:c r="I135" s="47" t="n">
        <x:v>1443</x:v>
      </x:c>
      <x:c r="J135" s="49" t="n">
        <x:v>0.45</x:v>
      </x:c>
      <x:c r="K135" s="51" t="n">
        <x:v>1587.3</x:v>
      </x:c>
      <x:c r="L135" s="55" t="n">
        <x:v>0.07</x:v>
      </x:c>
    </x:row>
    <x:row r="136">
      <x:c r="B136" s="37" t="str">
        <x:v>Presupuesto TF/26001424</x:v>
      </x:c>
      <x:c r="C136" s="38" t="str">
        <x:v>Comercial Santana Alemán y González, S.L. (Grupo SAG)</x:v>
      </x:c>
      <x:c r="D136" s="38" t="str">
        <x:v>25/04/2026</x:v>
      </x:c>
      <x:c r="E136" s="38" t="str">
        <x:v>INDEX CLIMA MPC, S.L.</x:v>
      </x:c>
      <x:c r="F136" s="38" t="str">
        <x:v>FXAA32A</x:v>
      </x:c>
      <x:c r="G136" s="38" t="str">
        <x:v>UNIDAD DE PARED VRV DAIKIN R-32 MOD. FXAA32A</x:v>
      </x:c>
      <x:c r="H136" s="45" t="n">
        <x:v>1</x:v>
      </x:c>
      <x:c r="I136" s="47" t="n">
        <x:v>1481</x:v>
      </x:c>
      <x:c r="J136" s="49" t="n">
        <x:v>0.45</x:v>
      </x:c>
      <x:c r="K136" s="51" t="n">
        <x:v>814.55</x:v>
      </x:c>
      <x:c r="L136" s="55" t="n">
        <x:v>0.07</x:v>
      </x:c>
    </x:row>
    <x:row r="137">
      <x:c r="B137" s="37" t="str">
        <x:v>Presupuesto TF/26001424</x:v>
      </x:c>
      <x:c r="C137" s="38" t="str">
        <x:v>Comercial Santana Alemán y González, S.L. (Grupo SAG)</x:v>
      </x:c>
      <x:c r="D137" s="38" t="str">
        <x:v>25/04/2026</x:v>
      </x:c>
      <x:c r="E137" s="38" t="str">
        <x:v>INDEX CLIMA MPC, S.L.</x:v>
      </x:c>
      <x:c r="F137" s="38" t="str">
        <x:v>FXAA40A</x:v>
      </x:c>
      <x:c r="G137" s="38" t="str">
        <x:v>UNIDAD DE PARED VRV DAIKIN R-32 MOD. FXAA40A</x:v>
      </x:c>
      <x:c r="H137" s="45" t="n">
        <x:v>2</x:v>
      </x:c>
      <x:c r="I137" s="47" t="n">
        <x:v>1560</x:v>
      </x:c>
      <x:c r="J137" s="49" t="n">
        <x:v>0.45</x:v>
      </x:c>
      <x:c r="K137" s="51" t="n">
        <x:v>1716</x:v>
      </x:c>
      <x:c r="L137" s="55" t="n">
        <x:v>0.07</x:v>
      </x:c>
    </x:row>
    <x:row r="138">
      <x:c r="B138" s="37" t="str">
        <x:v>Presupuesto TF/26001424</x:v>
      </x:c>
      <x:c r="C138" s="38" t="str">
        <x:v>Comercial Santana Alemán y González, S.L. (Grupo SAG)</x:v>
      </x:c>
      <x:c r="D138" s="38" t="str">
        <x:v>25/04/2026</x:v>
      </x:c>
      <x:c r="E138" s="38" t="str">
        <x:v>INDEX CLIMA MPC, S.L.</x:v>
      </x:c>
      <x:c r="F138" s="38" t="str">
        <x:v>BRC1H52W</x:v>
      </x:c>
      <x:c r="G138" s="38" t="str">
        <x:v>CONTROL REMOTO POR CABLE DAIKIN MOD. BRC1H52W BLANCO</x:v>
      </x:c>
      <x:c r="H138" s="45" t="n">
        <x:v>6</x:v>
      </x:c>
      <x:c r="I138" s="47" t="n">
        <x:v>219</x:v>
      </x:c>
      <x:c r="J138" s="49" t="n">
        <x:v>0.45</x:v>
      </x:c>
      <x:c r="K138" s="51" t="n">
        <x:v>722.7</x:v>
      </x:c>
      <x:c r="L138" s="55" t="n">
        <x:v>0.07</x:v>
      </x:c>
    </x:row>
    <x:row r="139">
      <x:c r="B139" s="37" t="str">
        <x:v>Presupuesto TF/26001424</x:v>
      </x:c>
      <x:c r="C139" s="38" t="str">
        <x:v>Comercial Santana Alemán y González, S.L. (Grupo SAG)</x:v>
      </x:c>
      <x:c r="D139" s="38" t="str">
        <x:v>25/04/2026</x:v>
      </x:c>
      <x:c r="E139" s="38" t="str">
        <x:v>INDEX CLIMA MPC, S.L.</x:v>
      </x:c>
      <x:c r="F139" s="38" t="str">
        <x:v>KHRQ22M20TA</x:v>
      </x:c>
      <x:c r="G139" s="38" t="str">
        <x:v>DERIVADOR DAIKIN REFNET MOD. KHRQ22M20TA</x:v>
      </x:c>
      <x:c r="H139" s="45" t="n">
        <x:v>4</x:v>
      </x:c>
      <x:c r="I139" s="47" t="n">
        <x:v>188</x:v>
      </x:c>
      <x:c r="J139" s="49" t="n">
        <x:v>0.45</x:v>
      </x:c>
      <x:c r="K139" s="51" t="n">
        <x:v>413.6</x:v>
      </x:c>
      <x:c r="L139" s="55" t="n">
        <x:v>0.07</x:v>
      </x:c>
    </x:row>
    <x:row r="140">
      <x:c r="B140" s="37" t="str">
        <x:v>Presupuesto TF/26001424</x:v>
      </x:c>
      <x:c r="C140" s="38" t="str">
        <x:v>Comercial Santana Alemán y González, S.L. (Grupo SAG)</x:v>
      </x:c>
      <x:c r="D140" s="38" t="str">
        <x:v>25/04/2026</x:v>
      </x:c>
      <x:c r="E140" s="38" t="str">
        <x:v>INDEX CLIMA MPC, S.L.</x:v>
      </x:c>
      <x:c r="F140" s="38" t="str">
        <x:v>4101124</x:v>
      </x:c>
      <x:c r="G140" s="38" t="str">
        <x:v>ROLLO DE COBRE DESNUDO 1/4 0,8 MM 15,25 M</x:v>
      </x:c>
      <x:c r="H140" s="45" t="n">
        <x:v>1</x:v>
      </x:c>
      <x:c r="I140" s="47" t="n">
        <x:v>29.5</x:v>
      </x:c>
      <x:c r="J140" s="49" t="n">
        <x:v>0</x:v>
      </x:c>
      <x:c r="K140" s="51" t="n">
        <x:v>29.5</x:v>
      </x:c>
      <x:c r="L140" s="55" t="n">
        <x:v>0.07</x:v>
      </x:c>
    </x:row>
    <x:row r="141">
      <x:c r="B141" s="37" t="str">
        <x:v>Presupuesto TF/26001424</x:v>
      </x:c>
      <x:c r="C141" s="38" t="str">
        <x:v>Comercial Santana Alemán y González, S.L. (Grupo SAG)</x:v>
      </x:c>
      <x:c r="D141" s="38" t="str">
        <x:v>25/04/2026</x:v>
      </x:c>
      <x:c r="E141" s="38" t="str">
        <x:v>INDEX CLIMA MPC, S.L.</x:v>
      </x:c>
      <x:c r="F141" s="38" t="str">
        <x:v>4101006</x:v>
      </x:c>
      <x:c r="G141" s="38" t="str">
        <x:v>ML TUBO COBRE RIGIDO 3/8 * 0,8MM (5 METROS)</x:v>
      </x:c>
      <x:c r="H141" s="45" t="n">
        <x:v>40</x:v>
      </x:c>
      <x:c r="I141" s="47" t="n">
        <x:v>3.7</x:v>
      </x:c>
      <x:c r="J141" s="49" t="n">
        <x:v>0</x:v>
      </x:c>
      <x:c r="K141" s="51" t="n">
        <x:v>148</x:v>
      </x:c>
      <x:c r="L141" s="55" t="n">
        <x:v>0.07</x:v>
      </x:c>
    </x:row>
    <x:row r="142">
      <x:c r="B142" s="37" t="str">
        <x:v>Presupuesto TF/26001424</x:v>
      </x:c>
      <x:c r="C142" s="38" t="str">
        <x:v>Comercial Santana Alemán y González, S.L. (Grupo SAG)</x:v>
      </x:c>
      <x:c r="D142" s="38" t="str">
        <x:v>25/04/2026</x:v>
      </x:c>
      <x:c r="E142" s="38" t="str">
        <x:v>INDEX CLIMA MPC, S.L.</x:v>
      </x:c>
      <x:c r="F142" s="38" t="str">
        <x:v>4101134</x:v>
      </x:c>
      <x:c r="G142" s="38" t="str">
        <x:v>ML TUBO COBRE RIGIDO 1/2" * 0,8MM (5 METROS)</x:v>
      </x:c>
      <x:c r="H142" s="45" t="n">
        <x:v>10</x:v>
      </x:c>
      <x:c r="I142" s="47" t="n">
        <x:v>4.9</x:v>
      </x:c>
      <x:c r="J142" s="49" t="n">
        <x:v>0</x:v>
      </x:c>
      <x:c r="K142" s="51" t="n">
        <x:v>49</x:v>
      </x:c>
      <x:c r="L142" s="55" t="n">
        <x:v>0.07</x:v>
      </x:c>
    </x:row>
    <x:row r="143">
      <x:c r="B143" s="37" t="str">
        <x:v>Presupuesto TF/26001424</x:v>
      </x:c>
      <x:c r="C143" s="38" t="str">
        <x:v>Comercial Santana Alemán y González, S.L. (Grupo SAG)</x:v>
      </x:c>
      <x:c r="D143" s="38" t="str">
        <x:v>25/04/2026</x:v>
      </x:c>
      <x:c r="E143" s="38" t="str">
        <x:v>INDEX CLIMA MPC, S.L.</x:v>
      </x:c>
      <x:c r="F143" s="38" t="str">
        <x:v>4101135</x:v>
      </x:c>
      <x:c r="G143" s="38" t="str">
        <x:v>ML TUBO COBRE RIGIDO 5/8" * 0,8MM (5 METROS)</x:v>
      </x:c>
      <x:c r="H143" s="45" t="n">
        <x:v>35</x:v>
      </x:c>
      <x:c r="I143" s="47" t="n">
        <x:v>6.2</x:v>
      </x:c>
      <x:c r="J143" s="49" t="n">
        <x:v>0</x:v>
      </x:c>
      <x:c r="K143" s="51" t="n">
        <x:v>217</x:v>
      </x:c>
      <x:c r="L143" s="55" t="n">
        <x:v>0.07</x:v>
      </x:c>
    </x:row>
    <x:row r="144">
      <x:c r="B144" s="37" t="str">
        <x:v>Presupuesto TF/26001424</x:v>
      </x:c>
      <x:c r="C144" s="38" t="str">
        <x:v>Comercial Santana Alemán y González, S.L. (Grupo SAG)</x:v>
      </x:c>
      <x:c r="D144" s="38" t="str">
        <x:v>25/04/2026</x:v>
      </x:c>
      <x:c r="E144" s="38" t="str">
        <x:v>INDEX CLIMA MPC, S.L.</x:v>
      </x:c>
      <x:c r="F144" s="38" t="str">
        <x:v>EVF006</x:v>
      </x:c>
      <x:c r="G144" s="38" t="str">
        <x:v>ML COQUILLA EVOCELL IT-FLEX C1 9X6 (1/4) 2 METROS</x:v>
      </x:c>
      <x:c r="H144" s="45" t="n">
        <x:v>16</x:v>
      </x:c>
      <x:c r="I144" s="47" t="n">
        <x:v>1.189</x:v>
      </x:c>
      <x:c r="J144" s="49" t="n">
        <x:v>0.65</x:v>
      </x:c>
      <x:c r="K144" s="51" t="n">
        <x:v>6.66</x:v>
      </x:c>
      <x:c r="L144" s="55" t="n">
        <x:v>0.03</x:v>
      </x:c>
    </x:row>
    <x:row r="145">
      <x:c r="B145" s="37" t="str">
        <x:v>Presupuesto TF/26001424</x:v>
      </x:c>
      <x:c r="C145" s="38" t="str">
        <x:v>Comercial Santana Alemán y González, S.L. (Grupo SAG)</x:v>
      </x:c>
      <x:c r="D145" s="38" t="str">
        <x:v>25/04/2026</x:v>
      </x:c>
      <x:c r="E145" s="38" t="str">
        <x:v>INDEX CLIMA MPC, S.L.</x:v>
      </x:c>
      <x:c r="F145" s="38" t="str">
        <x:v>EVF010</x:v>
      </x:c>
      <x:c r="G145" s="38" t="str">
        <x:v>ML COQUILLA EVOCELL IT-FLEX C1 9X10 (3/8) 2 METROS</x:v>
      </x:c>
      <x:c r="H145" s="45" t="n">
        <x:v>40</x:v>
      </x:c>
      <x:c r="I145" s="47" t="n">
        <x:v>1.297</x:v>
      </x:c>
      <x:c r="J145" s="49" t="n">
        <x:v>0.65</x:v>
      </x:c>
      <x:c r="K145" s="51" t="n">
        <x:v>18.16</x:v>
      </x:c>
      <x:c r="L145" s="55" t="n">
        <x:v>0.03</x:v>
      </x:c>
    </x:row>
    <x:row r="146">
      <x:c r="B146" s="37" t="str">
        <x:v>Presupuesto TF/26001424</x:v>
      </x:c>
      <x:c r="C146" s="38" t="str">
        <x:v>Comercial Santana Alemán y González, S.L. (Grupo SAG)</x:v>
      </x:c>
      <x:c r="D146" s="38" t="str">
        <x:v>25/04/2026</x:v>
      </x:c>
      <x:c r="E146" s="38" t="str">
        <x:v>INDEX CLIMA MPC, S.L.</x:v>
      </x:c>
      <x:c r="F146" s="38" t="str">
        <x:v>EVF012</x:v>
      </x:c>
      <x:c r="G146" s="38" t="str">
        <x:v>ML COQUILLA EVOCELL IT-FLEX C1 9X12 (1/2) 2 METROS</x:v>
      </x:c>
      <x:c r="H146" s="45" t="n">
        <x:v>10</x:v>
      </x:c>
      <x:c r="I146" s="47" t="n">
        <x:v>1.398</x:v>
      </x:c>
      <x:c r="J146" s="49" t="n">
        <x:v>0.65</x:v>
      </x:c>
      <x:c r="K146" s="51" t="n">
        <x:v>4.89</x:v>
      </x:c>
      <x:c r="L146" s="55" t="n">
        <x:v>0.03</x:v>
      </x:c>
    </x:row>
    <x:row r="147">
      <x:c r="B147" s="37" t="str">
        <x:v>Presupuesto TF/26001424</x:v>
      </x:c>
      <x:c r="C147" s="38" t="str">
        <x:v>Comercial Santana Alemán y González, S.L. (Grupo SAG)</x:v>
      </x:c>
      <x:c r="D147" s="38" t="str">
        <x:v>25/04/2026</x:v>
      </x:c>
      <x:c r="E147" s="38" t="str">
        <x:v>INDEX CLIMA MPC, S.L.</x:v>
      </x:c>
      <x:c r="F147" s="38" t="str">
        <x:v>4001269</x:v>
      </x:c>
      <x:c r="G147" s="38" t="str">
        <x:v>ML. COQUILLA KAIFLEX ST 19 X 15 MM (2mt)</x:v>
      </x:c>
      <x:c r="H147" s="45" t="n">
        <x:v>36</x:v>
      </x:c>
      <x:c r="I147" s="47" t="n">
        <x:v>6.07</x:v>
      </x:c>
      <x:c r="J147" s="49" t="n">
        <x:v>0.62</x:v>
      </x:c>
      <x:c r="K147" s="51" t="n">
        <x:v>83.04</x:v>
      </x:c>
      <x:c r="L147" s="55" t="n">
        <x:v>0.03</x:v>
      </x:c>
    </x:row>
    <x:row r="148">
      <x:c r="B148" s="37" t="str">
        <x:v>Presupuesto TF/26001424</x:v>
      </x:c>
      <x:c r="C148" s="38" t="str">
        <x:v>Comercial Santana Alemán y González, S.L. (Grupo SAG)</x:v>
      </x:c>
      <x:c r="D148" s="38" t="str">
        <x:v>25/04/2026</x:v>
      </x:c>
      <x:c r="E148" s="38" t="str">
        <x:v>INDEX CLIMA MPC, S.L.</x:v>
      </x:c>
      <x:c r="F148" s="38" t="str">
        <x:v>AZX6CABLEBUS500</x:v>
      </x:c>
      <x:c r="G148" s="38" t="str">
        <x:v>ML CABLE BUS ( 2X0.5+ 2X0.22 ) "BOBINA DE 500 M"</x:v>
      </x:c>
      <x:c r="H148" s="45" t="n">
        <x:v>100</x:v>
      </x:c>
      <x:c r="I148" s="47" t="n">
        <x:v>0.96</x:v>
      </x:c>
      <x:c r="J148" s="49" t="n">
        <x:v>0.4</x:v>
      </x:c>
      <x:c r="K148" s="51" t="n">
        <x:v>57.6</x:v>
      </x:c>
      <x:c r="L148" s="55" t="n">
        <x:v>0.07</x:v>
      </x:c>
    </x:row>
    <x:row r="149">
      <x:c r="B149" s="37" t="str">
        <x:v>Presupuesto TF/26001424</x:v>
      </x:c>
      <x:c r="C149" s="38" t="str">
        <x:v>Comercial Santana Alemán y González, S.L. (Grupo SAG)</x:v>
      </x:c>
      <x:c r="D149" s="38" t="str">
        <x:v>25/04/2026</x:v>
      </x:c>
      <x:c r="E149" s="38" t="str">
        <x:v>INDEX CLIMA MPC, S.L.</x:v>
      </x:c>
      <x:c r="F149" s="38" t="str">
        <x:v>2MXM50A</x:v>
      </x:c>
      <x:c r="G149" s="38" t="str">
        <x:v>UNIDAD EXTERIOR DAIKIN R-32 MULTI MOD. 2MXM50A</x:v>
      </x:c>
      <x:c r="H149" s="45" t="n">
        <x:v>1</x:v>
      </x:c>
      <x:c r="I149" s="47" t="n">
        <x:v>1804</x:v>
      </x:c>
      <x:c r="J149" s="49" t="n">
        <x:v>0.37</x:v>
      </x:c>
      <x:c r="K149" s="51" t="n">
        <x:v>1136.52</x:v>
      </x:c>
      <x:c r="L149" s="55" t="n">
        <x:v>0.07</x:v>
      </x:c>
    </x:row>
    <x:row r="150">
      <x:c r="B150" s="37" t="str">
        <x:v>Presupuesto TF/26001424</x:v>
      </x:c>
      <x:c r="C150" s="38" t="str">
        <x:v>Comercial Santana Alemán y González, S.L. (Grupo SAG)</x:v>
      </x:c>
      <x:c r="D150" s="38" t="str">
        <x:v>25/04/2026</x:v>
      </x:c>
      <x:c r="E150" s="38" t="str">
        <x:v>INDEX CLIMA MPC, S.L.</x:v>
      </x:c>
      <x:c r="F150" s="38" t="str">
        <x:v>FTXM25A</x:v>
      </x:c>
      <x:c r="G150" s="38" t="str">
        <x:v>UD. INTERIOR SPLIT DAIKIN R-32 MOD. FTXM25A</x:v>
      </x:c>
      <x:c r="H150" s="45" t="n">
        <x:v>2</x:v>
      </x:c>
      <x:c r="I150" s="47" t="n">
        <x:v>691</x:v>
      </x:c>
      <x:c r="J150" s="49" t="n">
        <x:v>0.37</x:v>
      </x:c>
      <x:c r="K150" s="51" t="n">
        <x:v>870.66</x:v>
      </x:c>
      <x:c r="L150" s="55" t="n">
        <x:v>0.07</x:v>
      </x:c>
    </x:row>
    <x:row r="151">
      <x:c r="B151" s="37" t="str">
        <x:v>Presupuesto TF/26001424</x:v>
      </x:c>
      <x:c r="C151" s="38" t="str">
        <x:v>Comercial Santana Alemán y González, S.L. (Grupo SAG)</x:v>
      </x:c>
      <x:c r="D151" s="38" t="str">
        <x:v>25/04/2026</x:v>
      </x:c>
      <x:c r="E151" s="38" t="str">
        <x:v>INDEX CLIMA MPC, S.L.</x:v>
      </x:c>
      <x:c r="F151" s="38" t="str">
        <x:v>4002053</x:v>
      </x:c>
      <x:c r="G151" s="38" t="str">
        <x:v>ROLLO TUBERIA DE COBRE PREAISLADO BITUBO 1/4 X 3/8 20 M.</x:v>
      </x:c>
      <x:c r="H151" s="45" t="n">
        <x:v>2</x:v>
      </x:c>
      <x:c r="I151" s="47" t="n">
        <x:v>110</x:v>
      </x:c>
      <x:c r="J151" s="49" t="n">
        <x:v>0</x:v>
      </x:c>
      <x:c r="K151" s="51" t="n">
        <x:v>220</x:v>
      </x:c>
      <x:c r="L151" s="55" t="n">
        <x:v>0.07</x:v>
      </x:c>
    </x:row>
    <x:row r="152">
      <x:c r="B152" s="37" t="str">
        <x:v>Albarán NT/24002146</x:v>
      </x:c>
      <x:c r="C152" s="38" t="str">
        <x:v>Comercial Santana Alemán y González, S.L. (Grupo SAG)</x:v>
      </x:c>
      <x:c r="D152" s="38" t="str">
        <x:v>26/07/2024</x:v>
      </x:c>
      <x:c r="E152" s="38" t="str">
        <x:v>TIENDA (EL CHORRILLO)</x:v>
      </x:c>
      <x:c r="F152" s="38" t="str">
        <x:v>0812BCF</x:v>
      </x:c>
      <x:c r="G152" s="38" t="str">
        <x:v>ML CANALETA PARA TUBERIAS 60*80 MM CON FILM (2 METROS)</x:v>
      </x:c>
      <x:c r="H152" s="45" t="n">
        <x:v>6</x:v>
      </x:c>
      <x:c r="I152" s="47" t="n">
        <x:v>7.6</x:v>
      </x:c>
      <x:c r="J152" s="49" t="n">
        <x:v>0.45</x:v>
      </x:c>
      <x:c r="K152" s="51" t="n">
        <x:v>25.08</x:v>
      </x:c>
      <x:c r="L152" s="55" t="n">
        <x:v>0.07</x:v>
      </x:c>
    </x:row>
    <x:row r="153">
      <x:c r="B153" s="37" t="str">
        <x:v>Albarán NT/24002146</x:v>
      </x:c>
      <x:c r="C153" s="38" t="str">
        <x:v>Comercial Santana Alemán y González, S.L. (Grupo SAG)</x:v>
      </x:c>
      <x:c r="D153" s="38" t="str">
        <x:v>26/07/2024</x:v>
      </x:c>
      <x:c r="E153" s="38" t="str">
        <x:v>TIENDA (EL CHORRILLO)</x:v>
      </x:c>
      <x:c r="F153" s="38" t="str">
        <x:v>0806AE</x:v>
      </x:c>
      <x:c r="G153" s="38" t="str">
        <x:v>ANGULO EXTERIOR 60*80 MM</x:v>
      </x:c>
      <x:c r="H153" s="45" t="n">
        <x:v>2</x:v>
      </x:c>
      <x:c r="I153" s="47" t="n">
        <x:v>4.2</x:v>
      </x:c>
      <x:c r="J153" s="49" t="n">
        <x:v>0.45</x:v>
      </x:c>
      <x:c r="K153" s="51" t="n">
        <x:v>4.62</x:v>
      </x:c>
      <x:c r="L153" s="55" t="n">
        <x:v>0.07</x:v>
      </x:c>
    </x:row>
    <x:row r="154">
      <x:c r="B154" s="37" t="str">
        <x:v>Albarán NT/24002146</x:v>
      </x:c>
      <x:c r="C154" s="38" t="str">
        <x:v>Comercial Santana Alemán y González, S.L. (Grupo SAG)</x:v>
      </x:c>
      <x:c r="D154" s="38" t="str">
        <x:v>26/07/2024</x:v>
      </x:c>
      <x:c r="E154" s="38" t="str">
        <x:v>TIENDA (EL CHORRILLO)</x:v>
      </x:c>
      <x:c r="F154" s="38" t="str">
        <x:v>0809CM</x:v>
      </x:c>
      <x:c r="G154" s="38" t="str">
        <x:v>CURVA A MURO CM 60*80 MM</x:v>
      </x:c>
      <x:c r="H154" s="45" t="n">
        <x:v>2</x:v>
      </x:c>
      <x:c r="I154" s="47" t="n">
        <x:v>6.73</x:v>
      </x:c>
      <x:c r="J154" s="49" t="n">
        <x:v>0.45</x:v>
      </x:c>
      <x:c r="K154" s="51" t="n">
        <x:v>7.4</x:v>
      </x:c>
      <x:c r="L154" s="55" t="n">
        <x:v>0.07</x:v>
      </x:c>
    </x:row>
    <x:row r="155">
      <x:c r="B155" s="37" t="str">
        <x:v>Albarán NT/24002146</x:v>
      </x:c>
      <x:c r="C155" s="38" t="str">
        <x:v>Comercial Santana Alemán y González, S.L. (Grupo SAG)</x:v>
      </x:c>
      <x:c r="D155" s="38" t="str">
        <x:v>26/07/2024</x:v>
      </x:c>
      <x:c r="E155" s="38" t="str">
        <x:v>TIENDA (EL CHORRILLO)</x:v>
      </x:c>
      <x:c r="F155" s="38" t="str">
        <x:v>649017</x:v>
      </x:c>
      <x:c r="G155" s="38" t="str">
        <x:v>JUEGO SOPORTE INSTALPACK S-40 AMORTIGUADOR SUELO</x:v>
      </x:c>
      <x:c r="H155" s="45" t="n">
        <x:v>1</x:v>
      </x:c>
      <x:c r="I155" s="47" t="n">
        <x:v>3.9</x:v>
      </x:c>
      <x:c r="J155" s="49" t="n">
        <x:v>0.4</x:v>
      </x:c>
      <x:c r="K155" s="51" t="n">
        <x:v>2.34</x:v>
      </x:c>
      <x:c r="L155" s="55" t="n">
        <x:v>0.07</x:v>
      </x:c>
    </x:row>
    <x:row r="156">
      <x:c r="B156" s="37" t="str">
        <x:v>Albarán NT/24002146</x:v>
      </x:c>
      <x:c r="C156" s="38" t="str">
        <x:v>Comercial Santana Alemán y González, S.L. (Grupo SAG)</x:v>
      </x:c>
      <x:c r="D156" s="38" t="str">
        <x:v>26/07/2024</x:v>
      </x:c>
      <x:c r="E156" s="38" t="str">
        <x:v>TIENDA (EL CHORRILLO)</x:v>
      </x:c>
      <x:c r="F156" s="38" t="str">
        <x:v>15580250</x:v>
      </x:c>
      <x:c r="G156" s="38" t="str">
        <x:v>ABRAZ. RM8+M10-250</x:v>
      </x:c>
      <x:c r="H156" s="45" t="n">
        <x:v>-3</x:v>
      </x:c>
      <x:c r="I156" s="47" t="n">
        <x:v>3.36</x:v>
      </x:c>
      <x:c r="J156" s="49" t="n">
        <x:v>0.4</x:v>
      </x:c>
      <x:c r="K156" s="51" t="n">
        <x:v>-6.05</x:v>
      </x:c>
      <x:c r="L156" s="55" t="n">
        <x:v>0.07</x:v>
      </x:c>
    </x:row>
    <x:row r="157">
      <x:c r="B157" s="37" t="str">
        <x:v>Factura FM/5127</x:v>
      </x:c>
      <x:c r="C157" s="38" t="str">
        <x:v>Comercial Santana Alemán y González, S.L. (Grupo SAG)</x:v>
      </x:c>
      <x:c r="D157" s="38" t="str">
        <x:v>30/06/2025</x:v>
      </x:c>
      <x:c r="E157" s="38" t="str">
        <x:v>Albarán NT/25.001.433</x:v>
      </x:c>
      <x:c r="F157" s="38" t="str">
        <x:v>76109090</x:v>
      </x:c>
      <x:c r="G157" s="38" t="str">
        <x:v>M2 PANEL ALUMINIO 35 S 60/60 20MM ESPESOR DE 3000*1200*20 (3.60 M2)</x:v>
      </x:c>
      <x:c r="H157" s="45" t="n">
        <x:v>3.6</x:v>
      </x:c>
      <x:c r="I157" s="47" t="n">
        <x:v>19</x:v>
      </x:c>
      <x:c r="J157" s="49" t="n">
        <x:v>0.4</x:v>
      </x:c>
      <x:c r="K157" s="51" t="n">
        <x:v>41.04</x:v>
      </x:c>
      <x:c r="L157" s="55" t="n">
        <x:v>0.07</x:v>
      </x:c>
    </x:row>
    <x:row r="158">
      <x:c r="B158" s="37" t="str">
        <x:v>Factura FM/5127</x:v>
      </x:c>
      <x:c r="C158" s="38" t="str">
        <x:v>Comercial Santana Alemán y González, S.L. (Grupo SAG)</x:v>
      </x:c>
      <x:c r="D158" s="38" t="str">
        <x:v>30/06/2025</x:v>
      </x:c>
      <x:c r="E158" s="38" t="str">
        <x:v>Albarán NT/25.001.433</x:v>
      </x:c>
      <x:c r="F158" s="38" t="str">
        <x:v>4101104</x:v>
      </x:c>
      <x:c r="G158" s="38" t="str">
        <x:v>MANGUITO DE COBRE HEMBRA-HEMBRA 1-1/8"</x:v>
      </x:c>
      <x:c r="H158" s="45" t="n">
        <x:v>2</x:v>
      </x:c>
      <x:c r="I158" s="47" t="n">
        <x:v>6.61</x:v>
      </x:c>
      <x:c r="J158" s="49" t="n">
        <x:v>0.4</x:v>
      </x:c>
      <x:c r="K158" s="51" t="n">
        <x:v>7.93</x:v>
      </x:c>
      <x:c r="L158" s="55" t="n">
        <x:v>0.07</x:v>
      </x:c>
    </x:row>
    <x:row r="159">
      <x:c r="B159" s="37" t="str">
        <x:v>Factura FM/5127</x:v>
      </x:c>
      <x:c r="C159" s="38" t="str">
        <x:v>Comercial Santana Alemán y González, S.L. (Grupo SAG)</x:v>
      </x:c>
      <x:c r="D159" s="38" t="str">
        <x:v>30/06/2025</x:v>
      </x:c>
      <x:c r="E159" s="38" t="str">
        <x:v>Albarán NT/25.001.647</x:v>
      </x:c>
      <x:c r="F159" s="38" t="str">
        <x:v>CG-CRN-0100</x:v>
      </x:c>
      <x:c r="G159" s="38" t="str">
        <x:v>CORONA DE 100 MM</x:v>
      </x:c>
      <x:c r="H159" s="45" t="n">
        <x:v>1</x:v>
      </x:c>
      <x:c r="I159" s="47" t="n">
        <x:v>2.5</x:v>
      </x:c>
      <x:c r="J159" s="49" t="n">
        <x:v>0.5</x:v>
      </x:c>
      <x:c r="K159" s="51" t="n">
        <x:v>1.25</x:v>
      </x:c>
      <x:c r="L159" s="55" t="n">
        <x:v>0.07</x:v>
      </x:c>
    </x:row>
    <x:row r="160">
      <x:c r="B160" s="37" t="str">
        <x:v>Factura FM/5127</x:v>
      </x:c>
      <x:c r="C160" s="38" t="str">
        <x:v>Comercial Santana Alemán y González, S.L. (Grupo SAG)</x:v>
      </x:c>
      <x:c r="D160" s="38" t="str">
        <x:v>30/06/2025</x:v>
      </x:c>
      <x:c r="E160" s="38" t="str">
        <x:v>Albarán NT/25.001.647</x:v>
      </x:c>
      <x:c r="F160" s="38" t="str">
        <x:v>CG-THG-0100</x:v>
      </x:c>
      <x:c r="G160" s="38" t="str">
        <x:v>ML TUBO HELICOIDAL GALVA MARCA SAG DE 100 MM (3 METROS)</x:v>
      </x:c>
      <x:c r="H160" s="45" t="n">
        <x:v>3</x:v>
      </x:c>
      <x:c r="I160" s="47" t="n">
        <x:v>8.9</x:v>
      </x:c>
      <x:c r="J160" s="49" t="n">
        <x:v>0.5</x:v>
      </x:c>
      <x:c r="K160" s="51" t="n">
        <x:v>13.35</x:v>
      </x:c>
      <x:c r="L160" s="55" t="n">
        <x:v>0.07</x:v>
      </x:c>
    </x:row>
    <x:row r="161">
      <x:c r="B161" s="37" t="str">
        <x:v>Factura FM/5127</x:v>
      </x:c>
      <x:c r="C161" s="38" t="str">
        <x:v>Comercial Santana Alemán y González, S.L. (Grupo SAG)</x:v>
      </x:c>
      <x:c r="D161" s="38" t="str">
        <x:v>30/06/2025</x:v>
      </x:c>
      <x:c r="E161" s="38" t="str">
        <x:v>Albarán NT/25.001.666</x:v>
      </x:c>
      <x:c r="F161" s="38" t="str">
        <x:v>CG-THG-0100</x:v>
      </x:c>
      <x:c r="G161" s="38" t="str">
        <x:v>ML TUBO HELICOIDAL GALVA MARCA SAG DE 100 MM (3 METROS)</x:v>
      </x:c>
      <x:c r="H161" s="45" t="n">
        <x:v>3</x:v>
      </x:c>
      <x:c r="I161" s="47" t="n">
        <x:v>8.9</x:v>
      </x:c>
      <x:c r="J161" s="49" t="n">
        <x:v>0.5</x:v>
      </x:c>
      <x:c r="K161" s="51" t="n">
        <x:v>13.35</x:v>
      </x:c>
      <x:c r="L161" s="55" t="n">
        <x:v>0.07</x:v>
      </x:c>
    </x:row>
    <x:row r="162">
      <x:c r="B162" s="37" t="str">
        <x:v>Factura FM/5127</x:v>
      </x:c>
      <x:c r="C162" s="38" t="str">
        <x:v>Comercial Santana Alemán y González, S.L. (Grupo SAG)</x:v>
      </x:c>
      <x:c r="D162" s="38" t="str">
        <x:v>30/06/2025</x:v>
      </x:c>
      <x:c r="E162" s="38" t="str">
        <x:v>Albarán NT/25.001.666</x:v>
      </x:c>
      <x:c r="F162" s="38" t="str">
        <x:v>CG-MAN-100</x:v>
      </x:c>
      <x:c r="G162" s="38" t="str">
        <x:v>MANGUITO GALVANIZADO DE 100 MM</x:v>
      </x:c>
      <x:c r="H162" s="45" t="n">
        <x:v>1</x:v>
      </x:c>
      <x:c r="I162" s="47" t="n">
        <x:v>3.75</x:v>
      </x:c>
      <x:c r="J162" s="49" t="n">
        <x:v>0.5</x:v>
      </x:c>
      <x:c r="K162" s="51" t="n">
        <x:v>1.88</x:v>
      </x:c>
      <x:c r="L162" s="55" t="n">
        <x:v>0.07</x:v>
      </x:c>
    </x:row>
    <x:row r="163">
      <x:c r="B163" s="37" t="str">
        <x:v>Factura FM/5127</x:v>
      </x:c>
      <x:c r="C163" s="38" t="str">
        <x:v>Comercial Santana Alemán y González, S.L. (Grupo SAG)</x:v>
      </x:c>
      <x:c r="D163" s="38" t="str">
        <x:v>30/06/2025</x:v>
      </x:c>
      <x:c r="E163" s="38" t="str">
        <x:v>Albarán NT/25.001.650</x:v>
      </x:c>
      <x:c r="F163" s="38" t="str">
        <x:v>CG-TE90-100</x:v>
      </x:c>
      <x:c r="G163" s="38" t="str">
        <x:v>TE GALVANIZADA 90º 100 MM</x:v>
      </x:c>
      <x:c r="H163" s="45" t="n">
        <x:v>1</x:v>
      </x:c>
      <x:c r="I163" s="47" t="n">
        <x:v>16.32</x:v>
      </x:c>
      <x:c r="J163" s="49" t="n">
        <x:v>0.5</x:v>
      </x:c>
      <x:c r="K163" s="51" t="n">
        <x:v>8.16</x:v>
      </x:c>
      <x:c r="L163" s="55" t="n">
        <x:v>0.07</x:v>
      </x:c>
    </x:row>
    <x:row r="164">
      <x:c r="B164" s="37" t="str">
        <x:v>Factura FM/5127</x:v>
      </x:c>
      <x:c r="C164" s="38" t="str">
        <x:v>Comercial Santana Alemán y González, S.L. (Grupo SAG)</x:v>
      </x:c>
      <x:c r="D164" s="38" t="str">
        <x:v>30/06/2025</x:v>
      </x:c>
      <x:c r="E164" s="38" t="str">
        <x:v>Albarán NT/25.001.650</x:v>
      </x:c>
      <x:c r="F164" s="38" t="str">
        <x:v>CG-COD90-100</x:v>
      </x:c>
      <x:c r="G164" s="38" t="str">
        <x:v>CODO GALVANIZADO 90º 100 MM</x:v>
      </x:c>
      <x:c r="H164" s="45" t="n">
        <x:v>2</x:v>
      </x:c>
      <x:c r="I164" s="47" t="n">
        <x:v>9.2</x:v>
      </x:c>
      <x:c r="J164" s="49" t="n">
        <x:v>0.5</x:v>
      </x:c>
      <x:c r="K164" s="51" t="n">
        <x:v>9.2</x:v>
      </x:c>
      <x:c r="L164" s="55" t="n">
        <x:v>0.07</x:v>
      </x:c>
    </x:row>
    <x:row r="165">
      <x:c r="B165" s="37" t="str">
        <x:v>Factura FM/5127</x:v>
      </x:c>
      <x:c r="C165" s="38" t="str">
        <x:v>Comercial Santana Alemán y González, S.L. (Grupo SAG)</x:v>
      </x:c>
      <x:c r="D165" s="38" t="str">
        <x:v>30/06/2025</x:v>
      </x:c>
      <x:c r="E165" s="38" t="str">
        <x:v>Albarán NT/25.001.650</x:v>
      </x:c>
      <x:c r="F165" s="38" t="str">
        <x:v>15580100</x:v>
      </x:c>
      <x:c r="G165" s="38" t="str">
        <x:v>ABRAZ. RM8+M10-100 (3 1/2")</x:v>
      </x:c>
      <x:c r="H165" s="45" t="n">
        <x:v>5</x:v>
      </x:c>
      <x:c r="I165" s="47" t="n">
        <x:v>1.46</x:v>
      </x:c>
      <x:c r="J165" s="49" t="n">
        <x:v>0.45</x:v>
      </x:c>
      <x:c r="K165" s="51" t="n">
        <x:v>4.02</x:v>
      </x:c>
      <x:c r="L165" s="55" t="n">
        <x:v>0.07</x:v>
      </x:c>
    </x:row>
    <x:row r="166">
      <x:c r="B166" s="37" t="str">
        <x:v>Factura FM/5127</x:v>
      </x:c>
      <x:c r="C166" s="38" t="str">
        <x:v>Comercial Santana Alemán y González, S.L. (Grupo SAG)</x:v>
      </x:c>
      <x:c r="D166" s="38" t="str">
        <x:v>30/06/2025</x:v>
      </x:c>
      <x:c r="E166" s="38" t="str">
        <x:v>Albarán NT/25.001.650</x:v>
      </x:c>
      <x:c r="F166" s="38" t="str">
        <x:v>12050015</x:v>
      </x:c>
      <x:c r="G166" s="38" t="str">
        <x:v>TACO PLP</x:v>
      </x:c>
      <x:c r="H166" s="45" t="n">
        <x:v>100</x:v>
      </x:c>
      <x:c r="I166" s="47" t="n">
        <x:v>0.16</x:v>
      </x:c>
      <x:c r="J166" s="49" t="n">
        <x:v>0.45</x:v>
      </x:c>
      <x:c r="K166" s="51" t="n">
        <x:v>8.8</x:v>
      </x:c>
      <x:c r="L166" s="55" t="n">
        <x:v>0.03</x:v>
      </x:c>
    </x:row>
    <x:row r="167">
      <x:c r="B167" s="37" t="str">
        <x:v>Factura FM/5127</x:v>
      </x:c>
      <x:c r="C167" s="38" t="str">
        <x:v>Comercial Santana Alemán y González, S.L. (Grupo SAG)</x:v>
      </x:c>
      <x:c r="D167" s="38" t="str">
        <x:v>30/06/2025</x:v>
      </x:c>
      <x:c r="E167" s="38" t="str">
        <x:v>Albarán NT/25.001.650</x:v>
      </x:c>
      <x:c r="F167" s="38" t="str">
        <x:v>215250TP</x:v>
      </x:c>
      <x:c r="G167" s="38" t="str">
        <x:v>PEGAMENTO PVC-15 FLEXIBLE 250 ML</x:v>
      </x:c>
      <x:c r="H167" s="45" t="n">
        <x:v>1</x:v>
      </x:c>
      <x:c r="I167" s="47" t="n">
        <x:v>7.24</x:v>
      </x:c>
      <x:c r="J167" s="49" t="n">
        <x:v>0.3</x:v>
      </x:c>
      <x:c r="K167" s="51" t="n">
        <x:v>5.07</x:v>
      </x:c>
      <x:c r="L167" s="55" t="n">
        <x:v>0.07</x:v>
      </x:c>
    </x:row>
    <x:row r="168">
      <x:c r="B168" s="37" t="str">
        <x:v>Factura FM/5127</x:v>
      </x:c>
      <x:c r="C168" s="38" t="str">
        <x:v>Comercial Santana Alemán y González, S.L. (Grupo SAG)</x:v>
      </x:c>
      <x:c r="D168" s="38" t="str">
        <x:v>30/06/2025</x:v>
      </x:c>
      <x:c r="E168" s="38" t="str">
        <x:v>Albarán NT/25.001.622</x:v>
      </x:c>
      <x:c r="F168" s="38" t="str">
        <x:v>CG-THG-0100</x:v>
      </x:c>
      <x:c r="G168" s="38" t="str">
        <x:v>ML TUBO HELICOIDAL GALVA MARCA SAG DE 100 MM (3 METROS)</x:v>
      </x:c>
      <x:c r="H168" s="45" t="n">
        <x:v>3</x:v>
      </x:c>
      <x:c r="I168" s="47" t="n">
        <x:v>8.9</x:v>
      </x:c>
      <x:c r="J168" s="49" t="n">
        <x:v>0.5</x:v>
      </x:c>
      <x:c r="K168" s="51" t="n">
        <x:v>13.35</x:v>
      </x:c>
      <x:c r="L168" s="55" t="n">
        <x:v>0.07</x:v>
      </x:c>
    </x:row>
    <x:row r="169">
      <x:c r="B169" s="37" t="str">
        <x:v>Factura FM/5127</x:v>
      </x:c>
      <x:c r="C169" s="38" t="str">
        <x:v>Comercial Santana Alemán y González, S.L. (Grupo SAG)</x:v>
      </x:c>
      <x:c r="D169" s="38" t="str">
        <x:v>30/06/2025</x:v>
      </x:c>
      <x:c r="E169" s="38" t="str">
        <x:v>Albarán NT/25.001.622</x:v>
      </x:c>
      <x:c r="F169" s="38" t="str">
        <x:v>CG-COD90-100</x:v>
      </x:c>
      <x:c r="G169" s="38" t="str">
        <x:v>CODO GALVANIZADO 90º 100 MM</x:v>
      </x:c>
      <x:c r="H169" s="45" t="n">
        <x:v>2</x:v>
      </x:c>
      <x:c r="I169" s="47" t="n">
        <x:v>9.2</x:v>
      </x:c>
      <x:c r="J169" s="49" t="n">
        <x:v>0.5</x:v>
      </x:c>
      <x:c r="K169" s="51" t="n">
        <x:v>9.2</x:v>
      </x:c>
      <x:c r="L169" s="55" t="n">
        <x:v>0.07</x:v>
      </x:c>
    </x:row>
    <x:row r="170">
      <x:c r="B170" s="37" t="str">
        <x:v>Factura FM/5127</x:v>
      </x:c>
      <x:c r="C170" s="38" t="str">
        <x:v>Comercial Santana Alemán y González, S.L. (Grupo SAG)</x:v>
      </x:c>
      <x:c r="D170" s="38" t="str">
        <x:v>30/06/2025</x:v>
      </x:c>
      <x:c r="E170" s="38" t="str">
        <x:v>Albarán NT/25.001.622</x:v>
      </x:c>
      <x:c r="F170" s="38" t="str">
        <x:v>CG-INJ90-250100</x:v>
      </x:c>
      <x:c r="G170" s="38" t="str">
        <x:v>INJERTO DE 90º 250/100 MM</x:v>
      </x:c>
      <x:c r="H170" s="45" t="n">
        <x:v>2</x:v>
      </x:c>
      <x:c r="I170" s="47" t="n">
        <x:v>9.3</x:v>
      </x:c>
      <x:c r="J170" s="49" t="n">
        <x:v>0.5</x:v>
      </x:c>
      <x:c r="K170" s="51" t="n">
        <x:v>9.3</x:v>
      </x:c>
      <x:c r="L170" s="55" t="n">
        <x:v>0.07</x:v>
      </x:c>
    </x:row>
    <x:row r="171">
      <x:c r="B171" s="37" t="str">
        <x:v>Factura FM/5127</x:v>
      </x:c>
      <x:c r="C171" s="38" t="str">
        <x:v>Comercial Santana Alemán y González, S.L. (Grupo SAG)</x:v>
      </x:c>
      <x:c r="D171" s="38" t="str">
        <x:v>30/06/2025</x:v>
      </x:c>
      <x:c r="E171" s="38" t="str">
        <x:v>Albarán NT/25.001.622</x:v>
      </x:c>
      <x:c r="F171" s="38" t="str">
        <x:v>15580100</x:v>
      </x:c>
      <x:c r="G171" s="38" t="str">
        <x:v>ABRAZ. RM8+M10-100 (3 1/2")</x:v>
      </x:c>
      <x:c r="H171" s="45" t="n">
        <x:v>5</x:v>
      </x:c>
      <x:c r="I171" s="47" t="n">
        <x:v>1.46</x:v>
      </x:c>
      <x:c r="J171" s="49" t="n">
        <x:v>0.45</x:v>
      </x:c>
      <x:c r="K171" s="51" t="n">
        <x:v>4.02</x:v>
      </x:c>
      <x:c r="L171" s="55" t="n">
        <x:v>0.07</x:v>
      </x:c>
    </x:row>
    <x:row r="172">
      <x:c r="B172" s="37" t="str">
        <x:v>Factura FM/5127</x:v>
      </x:c>
      <x:c r="C172" s="38" t="str">
        <x:v>Comercial Santana Alemán y González, S.L. (Grupo SAG)</x:v>
      </x:c>
      <x:c r="D172" s="38" t="str">
        <x:v>30/06/2025</x:v>
      </x:c>
      <x:c r="E172" s="38" t="str">
        <x:v>Albarán NT/25.001.622</x:v>
      </x:c>
      <x:c r="F172" s="38" t="str">
        <x:v>CF-REG-100</x:v>
      </x:c>
      <x:c r="G172" s="38" t="str">
        <x:v>COMPUERTA DE REGULACION CIRCULAR 100 MM</x:v>
      </x:c>
      <x:c r="H172" s="45" t="n">
        <x:v>1</x:v>
      </x:c>
      <x:c r="I172" s="47" t="n">
        <x:v>16.37</x:v>
      </x:c>
      <x:c r="J172" s="49" t="n">
        <x:v>0.4</x:v>
      </x:c>
      <x:c r="K172" s="51" t="n">
        <x:v>9.82</x:v>
      </x:c>
      <x:c r="L172" s="55" t="n">
        <x:v>0.07</x:v>
      </x:c>
    </x:row>
    <x:row r="173">
      <x:c r="B173" s="37" t="str">
        <x:v>Factura FM/5127</x:v>
      </x:c>
      <x:c r="C173" s="38" t="str">
        <x:v>Comercial Santana Alemán y González, S.L. (Grupo SAG)</x:v>
      </x:c>
      <x:c r="D173" s="38" t="str">
        <x:v>30/06/2025</x:v>
      </x:c>
      <x:c r="E173" s="38" t="str">
        <x:v>Albarán NT/25.001.622</x:v>
      </x:c>
      <x:c r="F173" s="38" t="str">
        <x:v>CG-MAN-100</x:v>
      </x:c>
      <x:c r="G173" s="38" t="str">
        <x:v>MANGUITO GALVANIZADO DE 100 MM</x:v>
      </x:c>
      <x:c r="H173" s="45" t="n">
        <x:v>2</x:v>
      </x:c>
      <x:c r="I173" s="47" t="n">
        <x:v>3.75</x:v>
      </x:c>
      <x:c r="J173" s="49" t="n">
        <x:v>0.5</x:v>
      </x:c>
      <x:c r="K173" s="51" t="n">
        <x:v>3.75</x:v>
      </x:c>
      <x:c r="L173" s="55" t="n">
        <x:v>0.07</x:v>
      </x:c>
    </x:row>
    <x:row r="174">
      <x:c r="B174" s="37" t="str">
        <x:v>Factura F/234,515</x:v>
      </x:c>
      <x:c r="C174" s="38" t="str">
        <x:v>Sánchez Arencibia, S.A.</x:v>
      </x:c>
      <x:c r="D174" s="38" t="str">
        <x:v>30/04/2026</x:v>
      </x:c>
      <x:c r="E174" s="38" t="str">
        <x:v>Albarán TF 536,519 (06/04/2026)</x:v>
      </x:c>
      <x:c r="F174" s="38" t="str">
        <x:v>SG-40 AIRPACK</x:v>
      </x:c>
      <x:c r="G174" s="38" t="str">
        <x:v>JUEGO AMORTIGUADORES (4)</x:v>
      </x:c>
      <x:c r="H174" s="45" t="n">
        <x:v>1</x:v>
      </x:c>
      <x:c r="I174" s="47" t="n">
        <x:v>2.7</x:v>
      </x:c>
      <x:c r="J174" s="49" t="n">
        <x:v>0.4</x:v>
      </x:c>
      <x:c r="K174" s="51" t="n">
        <x:v>1.62</x:v>
      </x:c>
      <x:c r="L174" s="55" t="n">
        <x:v>0.07</x:v>
      </x:c>
    </x:row>
    <x:row r="175">
      <x:c r="B175" s="37" t="str">
        <x:v>Factura F/234,515</x:v>
      </x:c>
      <x:c r="C175" s="38" t="str">
        <x:v>Sánchez Arencibia, S.A.</x:v>
      </x:c>
      <x:c r="D175" s="38" t="str">
        <x:v>30/04/2026</x:v>
      </x:c>
      <x:c r="E175" s="38" t="str">
        <x:v>Albarán TF 536,618 (07/04/2026)</x:v>
      </x:c>
      <x:c r="F175" s="38" t="str">
        <x:v>AIRPUR 5 LTS.</x:v>
      </x:c>
      <x:c r="G175" s="38" t="str">
        <x:v>HIGIENIZANTE SPLITS 5 LTS.</x:v>
      </x:c>
      <x:c r="H175" s="45" t="n">
        <x:v>1</x:v>
      </x:c>
      <x:c r="I175" s="47" t="n">
        <x:v>77.12</x:v>
      </x:c>
      <x:c r="J175" s="49" t="n">
        <x:v>0.25</x:v>
      </x:c>
      <x:c r="K175" s="51" t="n">
        <x:v>57.84</x:v>
      </x:c>
      <x:c r="L175" s="55" t="n">
        <x:v>0.07</x:v>
      </x:c>
    </x:row>
    <x:row r="176">
      <x:c r="B176" s="37" t="str">
        <x:v>Factura F/234,515</x:v>
      </x:c>
      <x:c r="C176" s="38" t="str">
        <x:v>Sánchez Arencibia, S.A.</x:v>
      </x:c>
      <x:c r="D176" s="38" t="str">
        <x:v>30/04/2026</x:v>
      </x:c>
      <x:c r="E176" s="38" t="str">
        <x:v>Albarán TF 536,618 (07/04/2026)</x:v>
      </x:c>
      <x:c r="F176" s="38" t="str">
        <x:v>AIRNET 0,75 LT.</x:v>
      </x:c>
      <x:c r="G176" s="38" t="str">
        <x:v>LIQUIDO LIMPIEZA SPLIT</x:v>
      </x:c>
      <x:c r="H176" s="45" t="n">
        <x:v>1</x:v>
      </x:c>
      <x:c r="I176" s="47" t="n">
        <x:v>11.53</x:v>
      </x:c>
      <x:c r="J176" s="49" t="n">
        <x:v>0.25</x:v>
      </x:c>
      <x:c r="K176" s="51" t="n">
        <x:v>8.65</x:v>
      </x:c>
      <x:c r="L176" s="55" t="n">
        <x:v>0.07</x:v>
      </x:c>
    </x:row>
    <x:row r="177">
      <x:c r="B177" s="37" t="str">
        <x:v>Factura F/234,515</x:v>
      </x:c>
      <x:c r="C177" s="38" t="str">
        <x:v>Sánchez Arencibia, S.A.</x:v>
      </x:c>
      <x:c r="D177" s="38" t="str">
        <x:v>30/04/2026</x:v>
      </x:c>
      <x:c r="E177" s="38" t="str">
        <x:v>Albarán TF 536,867 (13/04/2026)</x:v>
      </x:c>
      <x:c r="F177" s="38" t="str">
        <x:v>BIPOL. 1/4+3/8</x:v>
      </x:c>
      <x:c r="G177" s="38" t="str">
        <x:v>TUBO COBRE AISL 20 MT</x:v>
      </x:c>
      <x:c r="H177" s="45" t="n">
        <x:v>3</x:v>
      </x:c>
      <x:c r="I177" s="47" t="n">
        <x:v>139.12</x:v>
      </x:c>
      <x:c r="J177" s="49" t="n">
        <x:v>0.3</x:v>
      </x:c>
      <x:c r="K177" s="51" t="n">
        <x:v>292.15</x:v>
      </x:c>
      <x:c r="L177" s="55" t="n">
        <x:v>0.07</x:v>
      </x:c>
    </x:row>
    <x:row r="178">
      <x:c r="B178" s="37" t="str">
        <x:v>Factura F/234,515</x:v>
      </x:c>
      <x:c r="C178" s="38" t="str">
        <x:v>Sánchez Arencibia, S.A.</x:v>
      </x:c>
      <x:c r="D178" s="38" t="str">
        <x:v>30/04/2026</x:v>
      </x:c>
      <x:c r="E178" s="38" t="str">
        <x:v>Albarán TF 537,491 (23/04/2026)</x:v>
      </x:c>
      <x:c r="F178" s="38" t="str">
        <x:v>R-1600500</x:v>
      </x:c>
      <x:c r="G178" s="38" t="str">
        <x:v>SOPORTE CONDENSADORA</x:v>
      </x:c>
      <x:c r="H178" s="45" t="n">
        <x:v>1</x:v>
      </x:c>
      <x:c r="I178" s="47" t="n">
        <x:v>11.88</x:v>
      </x:c>
      <x:c r="J178" s="49" t="n">
        <x:v>0.4</x:v>
      </x:c>
      <x:c r="K178" s="51" t="n">
        <x:v>7.13</x:v>
      </x:c>
      <x:c r="L178" s="55" t="n">
        <x:v>0.07</x:v>
      </x:c>
    </x:row>
    <x:row r="179">
      <x:c r="B179" s="37" t="str">
        <x:v>Factura F/234,515</x:v>
      </x:c>
      <x:c r="C179" s="38" t="str">
        <x:v>Sánchez Arencibia, S.A.</x:v>
      </x:c>
      <x:c r="D179" s="38" t="str">
        <x:v>30/04/2026</x:v>
      </x:c>
      <x:c r="E179" s="38" t="str">
        <x:v>Albarán TF 537,491 (23/04/2026)</x:v>
      </x:c>
      <x:c r="F179" s="38" t="str">
        <x:v>AG-35 V1 INST.</x:v>
      </x:c>
      <x:c r="G179" s="38" t="str">
        <x:v>JUEGO AMORTIGUADORES (4)</x:v>
      </x:c>
      <x:c r="H179" s="45" t="n">
        <x:v>1</x:v>
      </x:c>
      <x:c r="I179" s="47" t="n">
        <x:v>2</x:v>
      </x:c>
      <x:c r="J179" s="49" t="n">
        <x:v>0.4</x:v>
      </x:c>
      <x:c r="K179" s="51" t="n">
        <x:v>1.2</x:v>
      </x:c>
      <x:c r="L179" s="55" t="n">
        <x:v>0.07</x:v>
      </x:c>
    </x:row>
    <x:row r="180">
      <x:c r="B180" s="37" t="str">
        <x:v>Factura F/234,515</x:v>
      </x:c>
      <x:c r="C180" s="38" t="str">
        <x:v>Sánchez Arencibia, S.A.</x:v>
      </x:c>
      <x:c r="D180" s="38" t="str">
        <x:v>30/04/2026</x:v>
      </x:c>
      <x:c r="E180" s="38" t="str">
        <x:v>Albarán TF 537,529 (24/04/2026)</x:v>
      </x:c>
      <x:c r="F180" s="38" t="str">
        <x:v>BIPOL. 1/4+3/8</x:v>
      </x:c>
      <x:c r="G180" s="38" t="str">
        <x:v>TUBO COBRE AISL 20 MT</x:v>
      </x:c>
      <x:c r="H180" s="45" t="n">
        <x:v>1</x:v>
      </x:c>
      <x:c r="I180" s="47" t="n">
        <x:v>139.12</x:v>
      </x:c>
      <x:c r="J180" s="49" t="n">
        <x:v>0.3</x:v>
      </x:c>
      <x:c r="K180" s="51" t="n">
        <x:v>97.38</x:v>
      </x:c>
      <x:c r="L180" s="55" t="n">
        <x:v>0.07</x:v>
      </x:c>
    </x:row>
    <x:row r="181">
      <x:c r="B181" s="37" t="str">
        <x:v>Factura F/234,515</x:v>
      </x:c>
      <x:c r="C181" s="38" t="str">
        <x:v>Sánchez Arencibia, S.A.</x:v>
      </x:c>
      <x:c r="D181" s="38" t="str">
        <x:v>30/04/2026</x:v>
      </x:c>
      <x:c r="E181" s="38" t="str">
        <x:v>Albarán TF 537,663 (28/04/2026)</x:v>
      </x:c>
      <x:c r="F181" s="38" t="str">
        <x:v>R-1600500</x:v>
      </x:c>
      <x:c r="G181" s="38" t="str">
        <x:v>SOPORTE CONDENSADORA</x:v>
      </x:c>
      <x:c r="H181" s="45" t="n">
        <x:v>2</x:v>
      </x:c>
      <x:c r="I181" s="47" t="n">
        <x:v>11.88</x:v>
      </x:c>
      <x:c r="J181" s="49" t="n">
        <x:v>0.4</x:v>
      </x:c>
      <x:c r="K181" s="51" t="n">
        <x:v>14.26</x:v>
      </x:c>
      <x:c r="L181" s="55" t="n">
        <x:v>0.07</x:v>
      </x:c>
    </x:row>
    <x:row r="182">
      <x:c r="B182" s="37" t="str">
        <x:v>Factura F/233,933</x:v>
      </x:c>
      <x:c r="C182" s="38" t="str">
        <x:v>Sánchez Arencibia, S.A.</x:v>
      </x:c>
      <x:c r="D182" s="38" t="str">
        <x:v>31/03/2026</x:v>
      </x:c>
      <x:c r="E182" s="38" t="str">
        <x:v>Albarán TF 535,403 (09/03/2026)</x:v>
      </x:c>
      <x:c r="F182" s="38" t="str">
        <x:v>BIPOL. 1/4+3/8</x:v>
      </x:c>
      <x:c r="G182" s="38" t="str">
        <x:v>TUBO COBRE AISL 20 MT</x:v>
      </x:c>
      <x:c r="H182" s="45" t="n">
        <x:v>5</x:v>
      </x:c>
      <x:c r="I182" s="47" t="n">
        <x:v>132.3</x:v>
      </x:c>
      <x:c r="J182" s="49" t="n">
        <x:v>0.3</x:v>
      </x:c>
      <x:c r="K182" s="51" t="n">
        <x:v>463.05</x:v>
      </x:c>
      <x:c r="L182" s="55" t="n">
        <x:v>0.07</x:v>
      </x:c>
    </x:row>
    <x:row r="183">
      <x:c r="B183" s="37" t="str">
        <x:v>Factura F/233,933</x:v>
      </x:c>
      <x:c r="C183" s="38" t="str">
        <x:v>Sánchez Arencibia, S.A.</x:v>
      </x:c>
      <x:c r="D183" s="38" t="str">
        <x:v>31/03/2026</x:v>
      </x:c>
      <x:c r="E183" s="38" t="str">
        <x:v>Albarán TF 535,403 (09/03/2026)</x:v>
      </x:c>
      <x:c r="F183" s="38" t="str">
        <x:v>9899-002-01</x:v>
      </x:c>
      <x:c r="G183" s="38" t="str">
        <x:v>CAJA PREINST. UNIVERSAL</x:v>
      </x:c>
      <x:c r="H183" s="45" t="n">
        <x:v>6</x:v>
      </x:c>
      <x:c r="I183" s="47" t="n">
        <x:v>8</x:v>
      </x:c>
      <x:c r="J183" s="49" t="n">
        <x:v>0.4</x:v>
      </x:c>
      <x:c r="K183" s="51" t="n">
        <x:v>28.8</x:v>
      </x:c>
      <x:c r="L183" s="55" t="n">
        <x:v>0.07</x:v>
      </x:c>
    </x:row>
    <x:row r="184">
      <x:c r="B184" s="37" t="str">
        <x:v>Factura F/233,933</x:v>
      </x:c>
      <x:c r="C184" s="38" t="str">
        <x:v>Sánchez Arencibia, S.A.</x:v>
      </x:c>
      <x:c r="D184" s="38" t="str">
        <x:v>31/03/2026</x:v>
      </x:c>
      <x:c r="E184" s="38" t="str">
        <x:v>Albarán TF 535,784 (17/03/2026)</x:v>
      </x:c>
      <x:c r="F184" s="38" t="str">
        <x:v>9803-001-08F</x:v>
      </x:c>
      <x:c r="G184" s="38" t="str">
        <x:v>CANALETA 125X75 2 MTS.</x:v>
      </x:c>
      <x:c r="H184" s="45" t="n">
        <x:v>3</x:v>
      </x:c>
      <x:c r="I184" s="47" t="n">
        <x:v>20.68</x:v>
      </x:c>
      <x:c r="J184" s="49" t="n">
        <x:v>0.4</x:v>
      </x:c>
      <x:c r="K184" s="51" t="n">
        <x:v>37.22</x:v>
      </x:c>
      <x:c r="L184" s="55" t="n">
        <x:v>0.07</x:v>
      </x:c>
    </x:row>
    <x:row r="185">
      <x:c r="B185" s="37" t="str">
        <x:v>Factura F/233,933</x:v>
      </x:c>
      <x:c r="C185" s="38" t="str">
        <x:v>Sánchez Arencibia, S.A.</x:v>
      </x:c>
      <x:c r="D185" s="38" t="str">
        <x:v>31/03/2026</x:v>
      </x:c>
      <x:c r="E185" s="38" t="str">
        <x:v>Albarán TF 535,784 (17/03/2026)</x:v>
      </x:c>
      <x:c r="F185" s="38" t="str">
        <x:v>9810-001-08F</x:v>
      </x:c>
      <x:c r="G185" s="38" t="str">
        <x:v>CANALETA 30X35 2 MTS.</x:v>
      </x:c>
      <x:c r="H185" s="45" t="n">
        <x:v>2</x:v>
      </x:c>
      <x:c r="I185" s="47" t="n">
        <x:v>4.19</x:v>
      </x:c>
      <x:c r="J185" s="49" t="n">
        <x:v>0.4</x:v>
      </x:c>
      <x:c r="K185" s="51" t="n">
        <x:v>5.03</x:v>
      </x:c>
      <x:c r="L185" s="55" t="n">
        <x:v>0.07</x:v>
      </x:c>
    </x:row>
    <x:row r="186">
      <x:c r="B186" s="37" t="str">
        <x:v>Factura F/233,933</x:v>
      </x:c>
      <x:c r="C186" s="38" t="str">
        <x:v>Sánchez Arencibia, S.A.</x:v>
      </x:c>
      <x:c r="D186" s="38" t="str">
        <x:v>31/03/2026</x:v>
      </x:c>
      <x:c r="E186" s="38" t="str">
        <x:v>Albarán TF 535,801 (17/03/2026)</x:v>
      </x:c>
      <x:c r="F186" s="38" t="str">
        <x:v>1801-4500</x:v>
      </x:c>
      <x:c r="G186" s="38" t="str">
        <x:v>SOPORTE POLIAMIDA 450 MM</x:v>
      </x:c>
      <x:c r="H186" s="45" t="n">
        <x:v>4</x:v>
      </x:c>
      <x:c r="I186" s="47" t="n">
        <x:v>27.8</x:v>
      </x:c>
      <x:c r="J186" s="49" t="n">
        <x:v>0.4</x:v>
      </x:c>
      <x:c r="K186" s="51" t="n">
        <x:v>66.72</x:v>
      </x:c>
      <x:c r="L186" s="55" t="n">
        <x:v>0.07</x:v>
      </x:c>
    </x:row>
    <x:row r="187">
      <x:c r="B187" s="37" t="str">
        <x:v>Factura F/233,933</x:v>
      </x:c>
      <x:c r="C187" s="38" t="str">
        <x:v>Sánchez Arencibia, S.A.</x:v>
      </x:c>
      <x:c r="D187" s="38" t="str">
        <x:v>31/03/2026</x:v>
      </x:c>
      <x:c r="E187" s="38" t="str">
        <x:v>Albarán TF 535,801 (17/03/2026)</x:v>
      </x:c>
      <x:c r="F187" s="38" t="str">
        <x:v>AG-35 V1 INST.</x:v>
      </x:c>
      <x:c r="G187" s="38" t="str">
        <x:v>JUEGO AMORTIGUADORES (4)</x:v>
      </x:c>
      <x:c r="H187" s="45" t="n">
        <x:v>4</x:v>
      </x:c>
      <x:c r="I187" s="47" t="n">
        <x:v>2</x:v>
      </x:c>
      <x:c r="J187" s="49" t="n">
        <x:v>0.4</x:v>
      </x:c>
      <x:c r="K187" s="51" t="n">
        <x:v>4.8</x:v>
      </x:c>
      <x:c r="L187" s="55" t="n">
        <x:v>0.07</x:v>
      </x:c>
    </x:row>
    <x:row r="188">
      <x:c r="B188" s="37" t="str">
        <x:v>Factura F/233,933</x:v>
      </x:c>
      <x:c r="C188" s="38" t="str">
        <x:v>Sánchez Arencibia, S.A.</x:v>
      </x:c>
      <x:c r="D188" s="38" t="str">
        <x:v>31/03/2026</x:v>
      </x:c>
      <x:c r="E188" s="38" t="str">
        <x:v>Albarán TF 535,878 (19/03/2026)</x:v>
      </x:c>
      <x:c r="F188" s="38" t="str">
        <x:v>SG-60 AIRPACK</x:v>
      </x:c>
      <x:c r="G188" s="38" t="str">
        <x:v>JUEGO AMORTIGUADORES (4)</x:v>
      </x:c>
      <x:c r="H188" s="45" t="n">
        <x:v>1</x:v>
      </x:c>
      <x:c r="I188" s="47" t="n">
        <x:v>5.02</x:v>
      </x:c>
      <x:c r="J188" s="49" t="n">
        <x:v>0.4</x:v>
      </x:c>
      <x:c r="K188" s="51" t="n">
        <x:v>3.01</x:v>
      </x:c>
      <x:c r="L188" s="55" t="n">
        <x:v>0.07</x:v>
      </x:c>
    </x:row>
    <x:row r="189">
      <x:c r="B189" s="37" t="str">
        <x:v>Factura F/233,933</x:v>
      </x:c>
      <x:c r="C189" s="38" t="str">
        <x:v>Sánchez Arencibia, S.A.</x:v>
      </x:c>
      <x:c r="D189" s="38" t="str">
        <x:v>31/03/2026</x:v>
      </x:c>
      <x:c r="E189" s="38" t="str">
        <x:v>Albarán TF 535,977 (23/03/2026)</x:v>
      </x:c>
      <x:c r="F189" s="38" t="str">
        <x:v>9801-001-08F</x:v>
      </x:c>
      <x:c r="G189" s="38" t="str">
        <x:v>CANALETA 65X50 2 MTS.</x:v>
      </x:c>
      <x:c r="H189" s="45" t="n">
        <x:v>2</x:v>
      </x:c>
      <x:c r="I189" s="47" t="n">
        <x:v>8.67</x:v>
      </x:c>
      <x:c r="J189" s="49" t="n">
        <x:v>0.4</x:v>
      </x:c>
      <x:c r="K189" s="51" t="n">
        <x:v>10.4</x:v>
      </x:c>
      <x:c r="L189" s="55" t="n">
        <x:v>0.07</x:v>
      </x:c>
    </x:row>
    <x:row r="190">
      <x:c r="B190" s="37" t="str">
        <x:v>Factura F/233,933</x:v>
      </x:c>
      <x:c r="C190" s="38" t="str">
        <x:v>Sánchez Arencibia, S.A.</x:v>
      </x:c>
      <x:c r="D190" s="38" t="str">
        <x:v>31/03/2026</x:v>
      </x:c>
      <x:c r="E190" s="38" t="str">
        <x:v>Albarán TF 535,977 (23/03/2026)</x:v>
      </x:c>
      <x:c r="F190" s="38" t="str">
        <x:v>9801-115-08</x:v>
      </x:c>
      <x:c r="G190" s="38" t="str">
        <x:v>CURVA PLANA 65X50</x:v>
      </x:c>
      <x:c r="H190" s="45" t="n">
        <x:v>2</x:v>
      </x:c>
      <x:c r="I190" s="47" t="n">
        <x:v>3.34</x:v>
      </x:c>
      <x:c r="J190" s="49" t="n">
        <x:v>0.4</x:v>
      </x:c>
      <x:c r="K190" s="51" t="n">
        <x:v>4.01</x:v>
      </x:c>
      <x:c r="L190" s="55" t="n">
        <x:v>0.07</x:v>
      </x:c>
    </x:row>
    <x:row r="191">
      <x:c r="B191" s="37" t="str">
        <x:v>Factura F/233,933</x:v>
      </x:c>
      <x:c r="C191" s="38" t="str">
        <x:v>Sánchez Arencibia, S.A.</x:v>
      </x:c>
      <x:c r="D191" s="38" t="str">
        <x:v>31/03/2026</x:v>
      </x:c>
      <x:c r="E191" s="38" t="str">
        <x:v>Albarán TF 535,977 (23/03/2026)</x:v>
      </x:c>
      <x:c r="F191" s="38" t="str">
        <x:v>9801-114-08</x:v>
      </x:c>
      <x:c r="G191" s="38" t="str">
        <x:v>TAPON TERMINAL 65X50</x:v>
      </x:c>
      <x:c r="H191" s="45" t="n">
        <x:v>1</x:v>
      </x:c>
      <x:c r="I191" s="47" t="n">
        <x:v>2.81</x:v>
      </x:c>
      <x:c r="J191" s="49" t="n">
        <x:v>0.4</x:v>
      </x:c>
      <x:c r="K191" s="51" t="n">
        <x:v>1.69</x:v>
      </x:c>
      <x:c r="L191" s="55" t="n">
        <x:v>0.07</x:v>
      </x:c>
    </x:row>
    <x:row r="192">
      <x:c r="B192" s="37" t="str">
        <x:v>Factura F/233,933</x:v>
      </x:c>
      <x:c r="C192" s="38" t="str">
        <x:v>Sánchez Arencibia, S.A.</x:v>
      </x:c>
      <x:c r="D192" s="38" t="str">
        <x:v>31/03/2026</x:v>
      </x:c>
      <x:c r="E192" s="38" t="str">
        <x:v>Albarán TF 535,977 (23/03/2026)</x:v>
      </x:c>
      <x:c r="F192" s="38" t="str">
        <x:v>9802-113-08</x:v>
      </x:c>
      <x:c r="G192" s="38" t="str">
        <x:v>ANGULO EXTERNO 90X65</x:v>
      </x:c>
      <x:c r="H192" s="45" t="n">
        <x:v>4</x:v>
      </x:c>
      <x:c r="I192" s="47" t="n">
        <x:v>4</x:v>
      </x:c>
      <x:c r="J192" s="49" t="n">
        <x:v>0.4</x:v>
      </x:c>
      <x:c r="K192" s="51" t="n">
        <x:v>9.6</x:v>
      </x:c>
      <x:c r="L192" s="55" t="n">
        <x:v>0.07</x:v>
      </x:c>
    </x:row>
    <x:row r="193">
      <x:c r="B193" s="37" t="str">
        <x:v>Factura F/233,933</x:v>
      </x:c>
      <x:c r="C193" s="38" t="str">
        <x:v>Sánchez Arencibia, S.A.</x:v>
      </x:c>
      <x:c r="D193" s="38" t="str">
        <x:v>31/03/2026</x:v>
      </x:c>
      <x:c r="E193" s="38" t="str">
        <x:v>Albarán TF 536,022 (23/03/2026)</x:v>
      </x:c>
      <x:c r="F193" s="38" t="str">
        <x:v>9801-001-08F</x:v>
      </x:c>
      <x:c r="G193" s="38" t="str">
        <x:v>CANALETA 65X50 2 MTS.</x:v>
      </x:c>
      <x:c r="H193" s="45" t="n">
        <x:v>4</x:v>
      </x:c>
      <x:c r="I193" s="47" t="n">
        <x:v>8.67</x:v>
      </x:c>
      <x:c r="J193" s="49" t="n">
        <x:v>0.4</x:v>
      </x:c>
      <x:c r="K193" s="51" t="n">
        <x:v>20.81</x:v>
      </x:c>
      <x:c r="L193" s="55" t="n">
        <x:v>0.07</x:v>
      </x:c>
    </x:row>
    <x:row r="194">
      <x:c r="B194" s="37" t="str">
        <x:v>Factura F/233,933</x:v>
      </x:c>
      <x:c r="C194" s="38" t="str">
        <x:v>Sánchez Arencibia, S.A.</x:v>
      </x:c>
      <x:c r="D194" s="38" t="str">
        <x:v>31/03/2026</x:v>
      </x:c>
      <x:c r="E194" s="38" t="str">
        <x:v>Albarán TF 536,022 (23/03/2026)</x:v>
      </x:c>
      <x:c r="F194" s="38" t="str">
        <x:v>ISOP. 3/8</x:v>
      </x:c>
      <x:c r="G194" s="38" t="str">
        <x:v>TUBO COBRE AISL. 25 MTS</x:v>
      </x:c>
      <x:c r="H194" s="45" t="n">
        <x:v>1</x:v>
      </x:c>
      <x:c r="I194" s="47" t="n">
        <x:v>94</x:v>
      </x:c>
      <x:c r="J194" s="49" t="n">
        <x:v>0.3</x:v>
      </x:c>
      <x:c r="K194" s="51" t="n">
        <x:v>65.8</x:v>
      </x:c>
      <x:c r="L194" s="55" t="n">
        <x:v>0.07</x:v>
      </x:c>
    </x:row>
    <x:row r="195">
      <x:c r="B195" s="37" t="str">
        <x:v>Factura F/232,781</x:v>
      </x:c>
      <x:c r="C195" s="38" t="str">
        <x:v>Sánchez Arencibia, S.A.</x:v>
      </x:c>
      <x:c r="D195" s="38" t="str">
        <x:v>31/01/2026</x:v>
      </x:c>
      <x:c r="E195" s="38" t="str">
        <x:v>Albarán TF 532,522 (08/01/2026)</x:v>
      </x:c>
      <x:c r="F195" s="38" t="str">
        <x:v>BIPOL. 1/4+3/8</x:v>
      </x:c>
      <x:c r="G195" s="38" t="str">
        <x:v>TUBO COBRE AISL. 20 MTS</x:v>
      </x:c>
      <x:c r="H195" s="45" t="n">
        <x:v>4</x:v>
      </x:c>
      <x:c r="I195" s="47" t="n">
        <x:v>132.3</x:v>
      </x:c>
      <x:c r="J195" s="49" t="n">
        <x:v>0.3</x:v>
      </x:c>
      <x:c r="K195" s="51" t="n">
        <x:v>370.44</x:v>
      </x:c>
      <x:c r="L195" s="55" t="n">
        <x:v>0.07</x:v>
      </x:c>
    </x:row>
    <x:row r="196">
      <x:c r="B196" s="37" t="str">
        <x:v>Factura F/232,781</x:v>
      </x:c>
      <x:c r="C196" s="38" t="str">
        <x:v>Sánchez Arencibia, S.A.</x:v>
      </x:c>
      <x:c r="D196" s="38" t="str">
        <x:v>31/01/2026</x:v>
      </x:c>
      <x:c r="E196" s="38" t="str">
        <x:v>Albarán TF 532,522 (08/01/2026)</x:v>
      </x:c>
      <x:c r="F196" s="38" t="str">
        <x:v>65018327 (BUP)</x:v>
      </x:c>
      <x:c r="G196" s="38" t="str">
        <x:v>CARRIL PESADA 41X21X2.5 3MT</x:v>
      </x:c>
      <x:c r="H196" s="45" t="n">
        <x:v>2</x:v>
      </x:c>
      <x:c r="I196" s="47" t="n">
        <x:v>86.42</x:v>
      </x:c>
      <x:c r="J196" s="49" t="n">
        <x:v>0.75</x:v>
      </x:c>
      <x:c r="K196" s="51" t="n">
        <x:v>43.21</x:v>
      </x:c>
      <x:c r="L196" s="55" t="n">
        <x:v>0.07</x:v>
      </x:c>
    </x:row>
    <x:row r="197">
      <x:c r="B197" s="37" t="str">
        <x:v>Factura F/232,781</x:v>
      </x:c>
      <x:c r="C197" s="38" t="str">
        <x:v>Sánchez Arencibia, S.A.</x:v>
      </x:c>
      <x:c r="D197" s="38" t="str">
        <x:v>31/01/2026</x:v>
      </x:c>
      <x:c r="E197" s="38" t="str">
        <x:v>Albarán TF 532,524 (08/01/2026)</x:v>
      </x:c>
      <x:c r="F197" s="38" t="str">
        <x:v>9803-001-08F</x:v>
      </x:c>
      <x:c r="G197" s="38" t="str">
        <x:v>CANALETA 125X75 2 MTS.</x:v>
      </x:c>
      <x:c r="H197" s="45" t="n">
        <x:v>3</x:v>
      </x:c>
      <x:c r="I197" s="47" t="n">
        <x:v>20.68</x:v>
      </x:c>
      <x:c r="J197" s="49" t="n">
        <x:v>0.4</x:v>
      </x:c>
      <x:c r="K197" s="51" t="n">
        <x:v>37.22</x:v>
      </x:c>
      <x:c r="L197" s="55" t="n">
        <x:v>0.07</x:v>
      </x:c>
    </x:row>
    <x:row r="198">
      <x:c r="B198" s="37" t="str">
        <x:v>Factura F/232,781</x:v>
      </x:c>
      <x:c r="C198" s="38" t="str">
        <x:v>Sánchez Arencibia, S.A.</x:v>
      </x:c>
      <x:c r="D198" s="38" t="str">
        <x:v>31/01/2026</x:v>
      </x:c>
      <x:c r="E198" s="38" t="str">
        <x:v>Albarán TF 532,524 (08/01/2026)</x:v>
      </x:c>
      <x:c r="F198" s="38" t="str">
        <x:v>9803-115-08</x:v>
      </x:c>
      <x:c r="G198" s="38" t="str">
        <x:v>CURVA PLANA 125X75</x:v>
      </x:c>
      <x:c r="H198" s="45" t="n">
        <x:v>1</x:v>
      </x:c>
      <x:c r="I198" s="47" t="n">
        <x:v>6.58</x:v>
      </x:c>
      <x:c r="J198" s="49" t="n">
        <x:v>0.4</x:v>
      </x:c>
      <x:c r="K198" s="51" t="n">
        <x:v>3.95</x:v>
      </x:c>
      <x:c r="L198" s="55" t="n">
        <x:v>0.07</x:v>
      </x:c>
    </x:row>
    <x:row r="199">
      <x:c r="B199" s="37" t="str">
        <x:v>Factura F/232,781</x:v>
      </x:c>
      <x:c r="C199" s="38" t="str">
        <x:v>Sánchez Arencibia, S.A.</x:v>
      </x:c>
      <x:c r="D199" s="38" t="str">
        <x:v>31/01/2026</x:v>
      </x:c>
      <x:c r="E199" s="38" t="str">
        <x:v>Albarán TF 532,524 (08/01/2026)</x:v>
      </x:c>
      <x:c r="F199" s="38" t="str">
        <x:v>9803-113-08</x:v>
      </x:c>
      <x:c r="G199" s="38" t="str">
        <x:v>ANGULO EXTERNO 125X75</x:v>
      </x:c>
      <x:c r="H199" s="45" t="n">
        <x:v>1</x:v>
      </x:c>
      <x:c r="I199" s="47" t="n">
        <x:v>5.04</x:v>
      </x:c>
      <x:c r="J199" s="49" t="n">
        <x:v>0.4</x:v>
      </x:c>
      <x:c r="K199" s="51" t="n">
        <x:v>3.02</x:v>
      </x:c>
      <x:c r="L199" s="55" t="n">
        <x:v>0.07</x:v>
      </x:c>
    </x:row>
    <x:row r="200">
      <x:c r="B200" s="37" t="str">
        <x:v>Factura F/232,781</x:v>
      </x:c>
      <x:c r="C200" s="38" t="str">
        <x:v>Sánchez Arencibia, S.A.</x:v>
      </x:c>
      <x:c r="D200" s="38" t="str">
        <x:v>31/01/2026</x:v>
      </x:c>
      <x:c r="E200" s="38" t="str">
        <x:v>Albarán TF 532,586 (08/01/2026)</x:v>
      </x:c>
      <x:c r="F200" s="38" t="str">
        <x:v>9801-001-08F</x:v>
      </x:c>
      <x:c r="G200" s="38" t="str">
        <x:v>CANALETA 65X50 2 MTS.</x:v>
      </x:c>
      <x:c r="H200" s="45" t="n">
        <x:v>3</x:v>
      </x:c>
      <x:c r="I200" s="47" t="n">
        <x:v>8.67</x:v>
      </x:c>
      <x:c r="J200" s="49" t="n">
        <x:v>0.4</x:v>
      </x:c>
      <x:c r="K200" s="51" t="n">
        <x:v>15.61</x:v>
      </x:c>
      <x:c r="L200" s="55" t="n">
        <x:v>0.07</x:v>
      </x:c>
    </x:row>
    <x:row r="201">
      <x:c r="B201" s="37" t="str">
        <x:v>Factura F/232,781</x:v>
      </x:c>
      <x:c r="C201" s="38" t="str">
        <x:v>Sánchez Arencibia, S.A.</x:v>
      </x:c>
      <x:c r="D201" s="38" t="str">
        <x:v>31/01/2026</x:v>
      </x:c>
      <x:c r="E201" s="38" t="str">
        <x:v>Albarán TF 532,586 (08/01/2026)</x:v>
      </x:c>
      <x:c r="F201" s="38" t="str">
        <x:v>9803-112-08</x:v>
      </x:c>
      <x:c r="G201" s="38" t="str">
        <x:v>ANGULO INTERNO 125X75</x:v>
      </x:c>
      <x:c r="H201" s="45" t="n">
        <x:v>1</x:v>
      </x:c>
      <x:c r="I201" s="47" t="n">
        <x:v>5.1</x:v>
      </x:c>
      <x:c r="J201" s="49" t="n">
        <x:v>0.4</x:v>
      </x:c>
      <x:c r="K201" s="51" t="n">
        <x:v>3.06</x:v>
      </x:c>
      <x:c r="L201" s="55" t="n">
        <x:v>0.07</x:v>
      </x:c>
    </x:row>
    <x:row r="202">
      <x:c r="B202" s="37" t="str">
        <x:v>Factura F/232,781</x:v>
      </x:c>
      <x:c r="C202" s="38" t="str">
        <x:v>Sánchez Arencibia, S.A.</x:v>
      </x:c>
      <x:c r="D202" s="38" t="str">
        <x:v>31/01/2026</x:v>
      </x:c>
      <x:c r="E202" s="38" t="str">
        <x:v>Albarán TF 532,586 (08/01/2026)</x:v>
      </x:c>
      <x:c r="F202" s="38" t="str">
        <x:v>SG-60 AIRPACK</x:v>
      </x:c>
      <x:c r="G202" s="38" t="str">
        <x:v>JUEGO AMORTIGUADORES (4)</x:v>
      </x:c>
      <x:c r="H202" s="45" t="n">
        <x:v>2</x:v>
      </x:c>
      <x:c r="I202" s="47" t="n">
        <x:v>5.02</x:v>
      </x:c>
      <x:c r="J202" s="49" t="n">
        <x:v>0.4</x:v>
      </x:c>
      <x:c r="K202" s="51" t="n">
        <x:v>6.02</x:v>
      </x:c>
      <x:c r="L202" s="55" t="n">
        <x:v>0.07</x:v>
      </x:c>
    </x:row>
    <x:row r="203">
      <x:c r="B203" s="37" t="str">
        <x:v>Factura F/232,781</x:v>
      </x:c>
      <x:c r="C203" s="38" t="str">
        <x:v>Sánchez Arencibia, S.A.</x:v>
      </x:c>
      <x:c r="D203" s="38" t="str">
        <x:v>31/01/2026</x:v>
      </x:c>
      <x:c r="E203" s="38" t="str">
        <x:v>Albarán TF 532,651 (12/01/2026)</x:v>
      </x:c>
      <x:c r="F203" s="38" t="str">
        <x:v>BIPOL. 1/4+1/2</x:v>
      </x:c>
      <x:c r="G203" s="38" t="str">
        <x:v>TUBO COBRE AISL. 20 MTS</x:v>
      </x:c>
      <x:c r="H203" s="45" t="n">
        <x:v>1</x:v>
      </x:c>
      <x:c r="I203" s="47" t="n">
        <x:v>156</x:v>
      </x:c>
      <x:c r="J203" s="49" t="n">
        <x:v>0.3</x:v>
      </x:c>
      <x:c r="K203" s="51" t="n">
        <x:v>109.2</x:v>
      </x:c>
      <x:c r="L203" s="55" t="n">
        <x:v>0.07</x:v>
      </x:c>
    </x:row>
    <x:row r="204">
      <x:c r="B204" s="37" t="str">
        <x:v>Factura F/232,781</x:v>
      </x:c>
      <x:c r="C204" s="38" t="str">
        <x:v>Sánchez Arencibia, S.A.</x:v>
      </x:c>
      <x:c r="D204" s="38" t="str">
        <x:v>31/01/2026</x:v>
      </x:c>
      <x:c r="E204" s="38" t="str">
        <x:v>Albarán TF 532,651 (12/01/2026)</x:v>
      </x:c>
      <x:c r="F204" s="38" t="str">
        <x:v>9899-002-01</x:v>
      </x:c>
      <x:c r="G204" s="38" t="str">
        <x:v>CAJA PREINST. UNIVERSAL</x:v>
      </x:c>
      <x:c r="H204" s="45" t="n">
        <x:v>3</x:v>
      </x:c>
      <x:c r="I204" s="47" t="n">
        <x:v>8</x:v>
      </x:c>
      <x:c r="J204" s="49" t="n">
        <x:v>0.4</x:v>
      </x:c>
      <x:c r="K204" s="51" t="n">
        <x:v>14.4</x:v>
      </x:c>
      <x:c r="L204" s="55" t="n">
        <x:v>0.07</x:v>
      </x:c>
    </x:row>
    <x:row r="205">
      <x:c r="B205" s="37" t="str">
        <x:v>Factura F/232,781</x:v>
      </x:c>
      <x:c r="C205" s="38" t="str">
        <x:v>Sánchez Arencibia, S.A.</x:v>
      </x:c>
      <x:c r="D205" s="38" t="str">
        <x:v>31/01/2026</x:v>
      </x:c>
      <x:c r="E205" s="38" t="str">
        <x:v>Abono TF 532,845 (14/01/2026) Ref. F/232,781</x:v>
      </x:c>
      <x:c r="F205" s="38" t="str">
        <x:v>9803-001-08F</x:v>
      </x:c>
      <x:c r="G205" s="38" t="str">
        <x:v>CANALETA 125X75 2 MTS.</x:v>
      </x:c>
      <x:c r="H205" s="45" t="n">
        <x:v>-1</x:v>
      </x:c>
      <x:c r="I205" s="47" t="n">
        <x:v>20.68</x:v>
      </x:c>
      <x:c r="J205" s="49" t="n">
        <x:v>0.4</x:v>
      </x:c>
      <x:c r="K205" s="51" t="n">
        <x:v>-12.41</x:v>
      </x:c>
      <x:c r="L205" s="55" t="n">
        <x:v>0.07</x:v>
      </x:c>
    </x:row>
    <x:row r="206">
      <x:c r="B206" s="37" t="str">
        <x:v>Factura F/232,781</x:v>
      </x:c>
      <x:c r="C206" s="38" t="str">
        <x:v>Sánchez Arencibia, S.A.</x:v>
      </x:c>
      <x:c r="D206" s="38" t="str">
        <x:v>31/01/2026</x:v>
      </x:c>
      <x:c r="E206" s="38" t="str">
        <x:v>Abono TF 532,845 (14/01/2026) Ref. F/232,781</x:v>
      </x:c>
      <x:c r="F206" s="38" t="str">
        <x:v>9803-113-08</x:v>
      </x:c>
      <x:c r="G206" s="38" t="str">
        <x:v>ANGULO EXTERNO 125X75</x:v>
      </x:c>
      <x:c r="H206" s="45" t="n">
        <x:v>-1</x:v>
      </x:c>
      <x:c r="I206" s="47" t="n">
        <x:v>5.04</x:v>
      </x:c>
      <x:c r="J206" s="49" t="n">
        <x:v>0.4</x:v>
      </x:c>
      <x:c r="K206" s="51" t="n">
        <x:v>-3.02</x:v>
      </x:c>
      <x:c r="L206" s="55" t="n">
        <x:v>0.07</x:v>
      </x:c>
    </x:row>
    <x:row r="207">
      <x:c r="B207" s="37" t="str">
        <x:v>Factura F/232,781</x:v>
      </x:c>
      <x:c r="C207" s="38" t="str">
        <x:v>Sánchez Arencibia, S.A.</x:v>
      </x:c>
      <x:c r="D207" s="38" t="str">
        <x:v>31/01/2026</x:v>
      </x:c>
      <x:c r="E207" s="38" t="str">
        <x:v>Abono TF 532,846 (14/01/2026) Ref. F/232,781</x:v>
      </x:c>
      <x:c r="F207" s="38" t="str">
        <x:v>9803-112-08</x:v>
      </x:c>
      <x:c r="G207" s="38" t="str">
        <x:v>ANGULO INTERNO 125X75</x:v>
      </x:c>
      <x:c r="H207" s="45" t="n">
        <x:v>-1</x:v>
      </x:c>
      <x:c r="I207" s="47" t="n">
        <x:v>5.1</x:v>
      </x:c>
      <x:c r="J207" s="49" t="n">
        <x:v>0.4</x:v>
      </x:c>
      <x:c r="K207" s="51" t="n">
        <x:v>-3.06</x:v>
      </x:c>
      <x:c r="L207" s="55" t="n">
        <x:v>0.07</x:v>
      </x:c>
    </x:row>
    <x:row r="208">
      <x:c r="B208" s="37" t="str">
        <x:v>Factura F/232,781</x:v>
      </x:c>
      <x:c r="C208" s="38" t="str">
        <x:v>Sánchez Arencibia, S.A.</x:v>
      </x:c>
      <x:c r="D208" s="38" t="str">
        <x:v>31/01/2026</x:v>
      </x:c>
      <x:c r="E208" s="38" t="str">
        <x:v>Albarán TF 532,847 (14/01/2026)</x:v>
      </x:c>
      <x:c r="F208" s="38" t="str">
        <x:v>ALP 50 MICRAS 75MM</x:v>
      </x:c>
      <x:c r="G208" s="38" t="str">
        <x:v>CINTA ALUMINIO ROLLO 45 MT.</x:v>
      </x:c>
      <x:c r="H208" s="45" t="n">
        <x:v>2</x:v>
      </x:c>
      <x:c r="I208" s="47" t="n">
        <x:v>9.43</x:v>
      </x:c>
      <x:c r="J208" s="49" t="n">
        <x:v>0.25</x:v>
      </x:c>
      <x:c r="K208" s="51" t="n">
        <x:v>14.15</x:v>
      </x:c>
      <x:c r="L208" s="55" t="n">
        <x:v>0.07</x:v>
      </x:c>
    </x:row>
    <x:row r="209">
      <x:c r="B209" s="37" t="str">
        <x:v>Factura F/232,781</x:v>
      </x:c>
      <x:c r="C209" s="38" t="str">
        <x:v>Sánchez Arencibia, S.A.</x:v>
      </x:c>
      <x:c r="D209" s="38" t="str">
        <x:v>31/01/2026</x:v>
      </x:c>
      <x:c r="E209" s="38" t="str">
        <x:v>Abono TF 532,848 (14/01/2026) Ref. F/232,230</x:v>
      </x:c>
      <x:c r="F209" s="38" t="str">
        <x:v>61281010</x:v>
      </x:c>
      <x:c r="G209" s="38" t="str">
        <x:v>TUERCA HEXAGONAL BUP M10</x:v>
      </x:c>
      <x:c r="H209" s="45" t="n">
        <x:v>-8</x:v>
      </x:c>
      <x:c r="I209" s="47" t="n">
        <x:v>0.62</x:v>
      </x:c>
      <x:c r="J209" s="49" t="n">
        <x:v>0.75</x:v>
      </x:c>
      <x:c r="K209" s="51" t="n">
        <x:v>-1.24</x:v>
      </x:c>
      <x:c r="L209" s="55" t="n">
        <x:v>0.07</x:v>
      </x:c>
    </x:row>
    <x:row r="210">
      <x:c r="B210" s="37" t="str">
        <x:v>Factura F/232,781</x:v>
      </x:c>
      <x:c r="C210" s="38" t="str">
        <x:v>Sánchez Arencibia, S.A.</x:v>
      </x:c>
      <x:c r="D210" s="38" t="str">
        <x:v>31/01/2026</x:v>
      </x:c>
      <x:c r="E210" s="38" t="str">
        <x:v>Abono TF 532,848 (14/01/2026) Ref. F/232,230</x:v>
      </x:c>
      <x:c r="F210" s="38" t="str">
        <x:v>665185108</x:v>
      </x:c>
      <x:c r="G210" s="38" t="str">
        <x:v>TUERCA BUP HAMMERFIX M8</x:v>
      </x:c>
      <x:c r="H210" s="45" t="n">
        <x:v>-4</x:v>
      </x:c>
      <x:c r="I210" s="47" t="n">
        <x:v>4.34</x:v>
      </x:c>
      <x:c r="J210" s="49" t="n">
        <x:v>0.75</x:v>
      </x:c>
      <x:c r="K210" s="51" t="n">
        <x:v>-4.34</x:v>
      </x:c>
      <x:c r="L210" s="55" t="n">
        <x:v>0.07</x:v>
      </x:c>
    </x:row>
    <x:row r="211">
      <x:c r="B211" s="37" t="str">
        <x:v>Factura F/232,781</x:v>
      </x:c>
      <x:c r="C211" s="38" t="str">
        <x:v>Sánchez Arencibia, S.A.</x:v>
      </x:c>
      <x:c r="D211" s="38" t="str">
        <x:v>31/01/2026</x:v>
      </x:c>
      <x:c r="E211" s="38" t="str">
        <x:v>Abono TF 532,994 (16/01/2026) Ref. F/232,781</x:v>
      </x:c>
      <x:c r="F211" s="38" t="str">
        <x:v>BIPOL. 1/4+1/2</x:v>
      </x:c>
      <x:c r="G211" s="38" t="str">
        <x:v>TUBO COBRE AISL. 20 MTS</x:v>
      </x:c>
      <x:c r="H211" s="45" t="n">
        <x:v>-1</x:v>
      </x:c>
      <x:c r="I211" s="47" t="n">
        <x:v>156</x:v>
      </x:c>
      <x:c r="J211" s="49" t="n">
        <x:v>0.3</x:v>
      </x:c>
      <x:c r="K211" s="51" t="n">
        <x:v>-109.2</x:v>
      </x:c>
      <x:c r="L211" s="55" t="n">
        <x:v>0.07</x:v>
      </x:c>
    </x:row>
    <x:row r="212">
      <x:c r="B212" s="37" t="str">
        <x:v>Factura F/232,781</x:v>
      </x:c>
      <x:c r="C212" s="38" t="str">
        <x:v>Sánchez Arencibia, S.A.</x:v>
      </x:c>
      <x:c r="D212" s="38" t="str">
        <x:v>31/01/2026</x:v>
      </x:c>
      <x:c r="E212" s="38" t="str">
        <x:v>Abono TF 532,995 (16/01/2026) Ref. F/231,689</x:v>
      </x:c>
      <x:c r="F212" s="38" t="str">
        <x:v>ISOP. 1/2</x:v>
      </x:c>
      <x:c r="G212" s="38" t="str">
        <x:v>TUBO COBRE AISL. 25 MTS</x:v>
      </x:c>
      <x:c r="H212" s="45" t="n">
        <x:v>-1</x:v>
      </x:c>
      <x:c r="I212" s="47" t="n">
        <x:v>117.82</x:v>
      </x:c>
      <x:c r="J212" s="49" t="n">
        <x:v>0.3</x:v>
      </x:c>
      <x:c r="K212" s="51" t="n">
        <x:v>-82.47</x:v>
      </x:c>
      <x:c r="L212" s="55" t="n">
        <x:v>0.07</x:v>
      </x:c>
    </x:row>
    <x:row r="213">
      <x:c r="B213" s="37" t="str">
        <x:v>Factura F/232,781</x:v>
      </x:c>
      <x:c r="C213" s="38" t="str">
        <x:v>Sánchez Arencibia, S.A.</x:v>
      </x:c>
      <x:c r="D213" s="38" t="str">
        <x:v>31/01/2026</x:v>
      </x:c>
      <x:c r="E213" s="38" t="str">
        <x:v>Abono TF 532,996 (16/01/2026) Ref. F/232,230</x:v>
      </x:c>
      <x:c r="F213" s="38" t="str">
        <x:v>1-1/8</x:v>
      </x:c>
      <x:c r="G213" s="38" t="str">
        <x:v>CURVA 90º</x:v>
      </x:c>
      <x:c r="H213" s="45" t="n">
        <x:v>-5</x:v>
      </x:c>
      <x:c r="I213" s="47" t="n">
        <x:v>4.59</x:v>
      </x:c>
      <x:c r="J213" s="49" t="n">
        <x:v>0.34</x:v>
      </x:c>
      <x:c r="K213" s="51" t="n">
        <x:v>-15.15</x:v>
      </x:c>
      <x:c r="L213" s="55" t="n">
        <x:v>0.07</x:v>
      </x:c>
    </x:row>
    <x:row r="214">
      <x:c r="B214" s="37" t="str">
        <x:v>Factura F/232,781</x:v>
      </x:c>
      <x:c r="C214" s="38" t="str">
        <x:v>Sánchez Arencibia, S.A.</x:v>
      </x:c>
      <x:c r="D214" s="38" t="str">
        <x:v>31/01/2026</x:v>
      </x:c>
      <x:c r="E214" s="38" t="str">
        <x:v>Abono TF 532,996 (16/01/2026) Ref. F/232,230</x:v>
      </x:c>
      <x:c r="F214" s="38" t="str">
        <x:v>1-1/8</x:v>
      </x:c>
      <x:c r="G214" s="38" t="str">
        <x:v>MANGUITO SOLDAR</x:v>
      </x:c>
      <x:c r="H214" s="45" t="n">
        <x:v>-4</x:v>
      </x:c>
      <x:c r="I214" s="47" t="n">
        <x:v>2.14</x:v>
      </x:c>
      <x:c r="J214" s="49" t="n">
        <x:v>0.34</x:v>
      </x:c>
      <x:c r="K214" s="51" t="n">
        <x:v>-5.65</x:v>
      </x:c>
      <x:c r="L214" s="55" t="n">
        <x:v>0.07</x:v>
      </x:c>
    </x:row>
    <x:row r="215">
      <x:c r="B215" s="37" t="str">
        <x:v>Factura F/232,781</x:v>
      </x:c>
      <x:c r="C215" s="38" t="str">
        <x:v>Sánchez Arencibia, S.A.</x:v>
      </x:c>
      <x:c r="D215" s="38" t="str">
        <x:v>31/01/2026</x:v>
      </x:c>
      <x:c r="E215" s="38" t="str">
        <x:v>Abono TF 532,996 (16/01/2026) Ref. F/232,230</x:v>
      </x:c>
      <x:c r="F215" s="38" t="str">
        <x:v>1-1/8</x:v>
      </x:c>
      <x:c r="G215" s="38" t="str">
        <x:v>CODO SOLDAR</x:v>
      </x:c>
      <x:c r="H215" s="45" t="n">
        <x:v>-3</x:v>
      </x:c>
      <x:c r="I215" s="47" t="n">
        <x:v>3.08</x:v>
      </x:c>
      <x:c r="J215" s="49" t="n">
        <x:v>0.34</x:v>
      </x:c>
      <x:c r="K215" s="51" t="n">
        <x:v>-6.1</x:v>
      </x:c>
      <x:c r="L215" s="55" t="n">
        <x:v>0.07</x:v>
      </x:c>
    </x:row>
    <x:row r="216">
      <x:c r="B216" s="37" t="str">
        <x:v>Factura F/232,781</x:v>
      </x:c>
      <x:c r="C216" s="38" t="str">
        <x:v>Sánchez Arencibia, S.A.</x:v>
      </x:c>
      <x:c r="D216" s="38" t="str">
        <x:v>31/01/2026</x:v>
      </x:c>
      <x:c r="E216" s="38" t="str">
        <x:v>Albarán TF 533,286 (23/01/2026)</x:v>
      </x:c>
      <x:c r="F216" s="38" t="str">
        <x:v>FOAM-20 (15 MM)</x:v>
      </x:c>
      <x:c r="G216" s="38" t="str">
        <x:v>FILTRO FOAM (PLANCHA 2 M2.)</x:v>
      </x:c>
      <x:c r="H216" s="45" t="n">
        <x:v>4</x:v>
      </x:c>
      <x:c r="I216" s="47" t="n">
        <x:v>46.55</x:v>
      </x:c>
      <x:c r="J216" s="49" t="n">
        <x:v>0.4</x:v>
      </x:c>
      <x:c r="K216" s="51" t="n">
        <x:v>111.72</x:v>
      </x:c>
      <x:c r="L216" s="55" t="n">
        <x:v>0.07</x:v>
      </x:c>
    </x:row>
    <x:row r="217">
      <x:c r="B217" s="37" t="str">
        <x:v>Factura F/232,781</x:v>
      </x:c>
      <x:c r="C217" s="38" t="str">
        <x:v>Sánchez Arencibia, S.A.</x:v>
      </x:c>
      <x:c r="D217" s="38" t="str">
        <x:v>31/01/2026</x:v>
      </x:c>
      <x:c r="E217" s="38" t="str">
        <x:v>Albarán TF 533,564 (29/01/2026)</x:v>
      </x:c>
      <x:c r="F217" s="38" t="str">
        <x:v>BIPOL. 1/4+1/2</x:v>
      </x:c>
      <x:c r="G217" s="38" t="str">
        <x:v>TUBO COBRE AISL 20 MT</x:v>
      </x:c>
      <x:c r="H217" s="45" t="n">
        <x:v>1</x:v>
      </x:c>
      <x:c r="I217" s="47" t="n">
        <x:v>156</x:v>
      </x:c>
      <x:c r="J217" s="49" t="n">
        <x:v>0.3</x:v>
      </x:c>
      <x:c r="K217" s="51" t="n">
        <x:v>109.2</x:v>
      </x:c>
      <x:c r="L217" s="55" t="n">
        <x:v>0.07</x:v>
      </x:c>
    </x:row>
    <x:row r="218">
      <x:c r="B218" s="37" t="str">
        <x:v>Factura F/232,781</x:v>
      </x:c>
      <x:c r="C218" s="38" t="str">
        <x:v>Sánchez Arencibia, S.A.</x:v>
      </x:c>
      <x:c r="D218" s="38" t="str">
        <x:v>31/01/2026</x:v>
      </x:c>
      <x:c r="E218" s="38" t="str">
        <x:v>Albarán TF 533,564 (29/01/2026)</x:v>
      </x:c>
      <x:c r="F218" s="38" t="str">
        <x:v>BIPOL. 1/4+3/8</x:v>
      </x:c>
      <x:c r="G218" s="38" t="str">
        <x:v>TUBO COBRE AISL 20 MT</x:v>
      </x:c>
      <x:c r="H218" s="45" t="n">
        <x:v>1</x:v>
      </x:c>
      <x:c r="I218" s="47" t="n">
        <x:v>132.3</x:v>
      </x:c>
      <x:c r="J218" s="49" t="n">
        <x:v>0.3</x:v>
      </x:c>
      <x:c r="K218" s="51" t="n">
        <x:v>92.61</x:v>
      </x:c>
      <x:c r="L218" s="55" t="n">
        <x:v>0.07</x:v>
      </x:c>
    </x:row>
    <x:row r="219">
      <x:c r="B219" s="37" t="str">
        <x:v>Factura F/232,230</x:v>
      </x:c>
      <x:c r="C219" s="38" t="str">
        <x:v>Sánchez Arencibia, S.A.</x:v>
      </x:c>
      <x:c r="D219" s="38" t="str">
        <x:v>31/12/2025</x:v>
      </x:c>
      <x:c r="E219" s="38" t="str">
        <x:v>Albarán TF 531,403 (04/12/2025)</x:v>
      </x:c>
      <x:c r="F219" s="38" t="str">
        <x:v>9803-001-08F</x:v>
      </x:c>
      <x:c r="G219" s="38" t="str">
        <x:v>CANALETA 125X75 2 MTS.</x:v>
      </x:c>
      <x:c r="H219" s="45" t="n">
        <x:v>1</x:v>
      </x:c>
      <x:c r="I219" s="47" t="n">
        <x:v>20.68</x:v>
      </x:c>
      <x:c r="J219" s="49" t="n">
        <x:v>0.4</x:v>
      </x:c>
      <x:c r="K219" s="51" t="n">
        <x:v>12.41</x:v>
      </x:c>
      <x:c r="L219" s="55" t="n">
        <x:v>0.07</x:v>
      </x:c>
    </x:row>
    <x:row r="220">
      <x:c r="B220" s="37" t="str">
        <x:v>Factura F/232,230</x:v>
      </x:c>
      <x:c r="C220" s="38" t="str">
        <x:v>Sánchez Arencibia, S.A.</x:v>
      </x:c>
      <x:c r="D220" s="38" t="str">
        <x:v>31/12/2025</x:v>
      </x:c>
      <x:c r="E220" s="38" t="str">
        <x:v>Albarán TF 531,403 (04/12/2025)</x:v>
      </x:c>
      <x:c r="F220" s="38" t="str">
        <x:v>9803-115-08</x:v>
      </x:c>
      <x:c r="G220" s="38" t="str">
        <x:v>CURVA PLANA 125X75</x:v>
      </x:c>
      <x:c r="H220" s="45" t="n">
        <x:v>1</x:v>
      </x:c>
      <x:c r="I220" s="47" t="n">
        <x:v>6.58</x:v>
      </x:c>
      <x:c r="J220" s="49" t="n">
        <x:v>0.4</x:v>
      </x:c>
      <x:c r="K220" s="51" t="n">
        <x:v>3.95</x:v>
      </x:c>
      <x:c r="L220" s="55" t="n">
        <x:v>0.07</x:v>
      </x:c>
    </x:row>
    <x:row r="221">
      <x:c r="B221" s="37" t="str">
        <x:v>Factura F/232,230</x:v>
      </x:c>
      <x:c r="C221" s="38" t="str">
        <x:v>Sánchez Arencibia, S.A.</x:v>
      </x:c>
      <x:c r="D221" s="38" t="str">
        <x:v>31/12/2025</x:v>
      </x:c>
      <x:c r="E221" s="38" t="str">
        <x:v>Albarán TF 531,666 (11/12/2025)</x:v>
      </x:c>
      <x:c r="F221" s="38" t="str">
        <x:v>9803-001-08F</x:v>
      </x:c>
      <x:c r="G221" s="38" t="str">
        <x:v>CANALETA 125X75 2 MTS.</x:v>
      </x:c>
      <x:c r="H221" s="45" t="n">
        <x:v>3</x:v>
      </x:c>
      <x:c r="I221" s="47" t="n">
        <x:v>20.68</x:v>
      </x:c>
      <x:c r="J221" s="49" t="n">
        <x:v>0.4</x:v>
      </x:c>
      <x:c r="K221" s="51" t="n">
        <x:v>37.22</x:v>
      </x:c>
      <x:c r="L221" s="55" t="n">
        <x:v>0.07</x:v>
      </x:c>
    </x:row>
    <x:row r="222">
      <x:c r="B222" s="37" t="str">
        <x:v>Factura F/232,230</x:v>
      </x:c>
      <x:c r="C222" s="38" t="str">
        <x:v>Sánchez Arencibia, S.A.</x:v>
      </x:c>
      <x:c r="D222" s="38" t="str">
        <x:v>31/12/2025</x:v>
      </x:c>
      <x:c r="E222" s="38" t="str">
        <x:v>Albarán TF 531,666 (11/12/2025)</x:v>
      </x:c>
      <x:c r="F222" s="38" t="str">
        <x:v>9803-115-08</x:v>
      </x:c>
      <x:c r="G222" s="38" t="str">
        <x:v>CURVA PLANA 125X75</x:v>
      </x:c>
      <x:c r="H222" s="45" t="n">
        <x:v>2</x:v>
      </x:c>
      <x:c r="I222" s="47" t="n">
        <x:v>6.58</x:v>
      </x:c>
      <x:c r="J222" s="49" t="n">
        <x:v>0.4</x:v>
      </x:c>
      <x:c r="K222" s="51" t="n">
        <x:v>7.9</x:v>
      </x:c>
      <x:c r="L222" s="55" t="n">
        <x:v>0.07</x:v>
      </x:c>
    </x:row>
    <x:row r="223">
      <x:c r="B223" s="37" t="str">
        <x:v>Factura F/232,230</x:v>
      </x:c>
      <x:c r="C223" s="38" t="str">
        <x:v>Sánchez Arencibia, S.A.</x:v>
      </x:c>
      <x:c r="D223" s="38" t="str">
        <x:v>31/12/2025</x:v>
      </x:c>
      <x:c r="E223" s="38" t="str">
        <x:v>Albarán TF 531,666 (11/12/2025)</x:v>
      </x:c>
      <x:c r="F223" s="38" t="str">
        <x:v>9803-113-08</x:v>
      </x:c>
      <x:c r="G223" s="38" t="str">
        <x:v>ANGULO EXTERNO 125X75</x:v>
      </x:c>
      <x:c r="H223" s="45" t="n">
        <x:v>3</x:v>
      </x:c>
      <x:c r="I223" s="47" t="n">
        <x:v>5.04</x:v>
      </x:c>
      <x:c r="J223" s="49" t="n">
        <x:v>0.4</x:v>
      </x:c>
      <x:c r="K223" s="51" t="n">
        <x:v>9.07</x:v>
      </x:c>
      <x:c r="L223" s="55" t="n">
        <x:v>0.07</x:v>
      </x:c>
    </x:row>
    <x:row r="224">
      <x:c r="B224" s="37" t="str">
        <x:v>Factura F/232,230</x:v>
      </x:c>
      <x:c r="C224" s="38" t="str">
        <x:v>Sánchez Arencibia, S.A.</x:v>
      </x:c>
      <x:c r="D224" s="38" t="str">
        <x:v>31/12/2025</x:v>
      </x:c>
      <x:c r="E224" s="38" t="str">
        <x:v>Albarán TF 531,882 (16/12/2025)</x:v>
      </x:c>
      <x:c r="F224" s="38" t="str">
        <x:v>65018327 (BUP)</x:v>
      </x:c>
      <x:c r="G224" s="38" t="str">
        <x:v>CARRIL PESADA 41X21X2.5 3MT</x:v>
      </x:c>
      <x:c r="H224" s="45" t="n">
        <x:v>1</x:v>
      </x:c>
      <x:c r="I224" s="47" t="n">
        <x:v>86.42</x:v>
      </x:c>
      <x:c r="J224" s="49" t="n">
        <x:v>0.75</x:v>
      </x:c>
      <x:c r="K224" s="51" t="n">
        <x:v>21.61</x:v>
      </x:c>
      <x:c r="L224" s="55" t="n">
        <x:v>0.07</x:v>
      </x:c>
    </x:row>
    <x:row r="225">
      <x:c r="B225" s="37" t="str">
        <x:v>Factura F/232,230</x:v>
      </x:c>
      <x:c r="C225" s="38" t="str">
        <x:v>Sánchez Arencibia, S.A.</x:v>
      </x:c>
      <x:c r="D225" s="38" t="str">
        <x:v>31/12/2025</x:v>
      </x:c>
      <x:c r="E225" s="38" t="str">
        <x:v>Albarán TF 531,882 (16/12/2025)</x:v>
      </x:c>
      <x:c r="F225" s="38" t="str">
        <x:v>652785006</x:v>
      </x:c>
      <x:c r="G225" s="38" t="str">
        <x:v>TORNILLO BUP HAMM M10X60 CP</x:v>
      </x:c>
      <x:c r="H225" s="45" t="n">
        <x:v>4</x:v>
      </x:c>
      <x:c r="I225" s="47" t="n">
        <x:v>6.68</x:v>
      </x:c>
      <x:c r="J225" s="49" t="n">
        <x:v>0.75</x:v>
      </x:c>
      <x:c r="K225" s="51" t="n">
        <x:v>6.68</x:v>
      </x:c>
      <x:c r="L225" s="55" t="n">
        <x:v>0.07</x:v>
      </x:c>
    </x:row>
    <x:row r="226">
      <x:c r="B226" s="37" t="str">
        <x:v>Factura F/232,230</x:v>
      </x:c>
      <x:c r="C226" s="38" t="str">
        <x:v>Sánchez Arencibia, S.A.</x:v>
      </x:c>
      <x:c r="D226" s="38" t="str">
        <x:v>31/12/2025</x:v>
      </x:c>
      <x:c r="E226" s="38" t="str">
        <x:v>Albarán TF 531,882 (16/12/2025)</x:v>
      </x:c>
      <x:c r="F226" s="38" t="str">
        <x:v>65381310 ***</x:v>
      </x:c>
      <x:c r="G226" s="38" t="str">
        <x:v>ARANDELA BUP 10,5/20MM</x:v>
      </x:c>
      <x:c r="H226" s="45" t="n">
        <x:v>8</x:v>
      </x:c>
      <x:c r="I226" s="47" t="n">
        <x:v>1.25</x:v>
      </x:c>
      <x:c r="J226" s="49" t="n">
        <x:v>0.75</x:v>
      </x:c>
      <x:c r="K226" s="51" t="n">
        <x:v>2.5</x:v>
      </x:c>
      <x:c r="L226" s="55" t="n">
        <x:v>0.07</x:v>
      </x:c>
    </x:row>
    <x:row r="227">
      <x:c r="B227" s="37" t="str">
        <x:v>Factura F/232,230</x:v>
      </x:c>
      <x:c r="C227" s="38" t="str">
        <x:v>Sánchez Arencibia, S.A.</x:v>
      </x:c>
      <x:c r="D227" s="38" t="str">
        <x:v>31/12/2025</x:v>
      </x:c>
      <x:c r="E227" s="38" t="str">
        <x:v>Albarán TF 531,882 (16/12/2025)</x:v>
      </x:c>
      <x:c r="F227" s="38" t="str">
        <x:v>61281010</x:v>
      </x:c>
      <x:c r="G227" s="38" t="str">
        <x:v>TUERCA HEXAGONAL BUP M10</x:v>
      </x:c>
      <x:c r="H227" s="45" t="n">
        <x:v>4</x:v>
      </x:c>
      <x:c r="I227" s="47" t="n">
        <x:v>0.62</x:v>
      </x:c>
      <x:c r="J227" s="49" t="n">
        <x:v>0.75</x:v>
      </x:c>
      <x:c r="K227" s="51" t="n">
        <x:v>0.62</x:v>
      </x:c>
      <x:c r="L227" s="55" t="n">
        <x:v>0.07</x:v>
      </x:c>
    </x:row>
    <x:row r="228">
      <x:c r="B228" s="37" t="str">
        <x:v>Factura F/232,230</x:v>
      </x:c>
      <x:c r="C228" s="38" t="str">
        <x:v>Sánchez Arencibia, S.A.</x:v>
      </x:c>
      <x:c r="D228" s="38" t="str">
        <x:v>31/12/2025</x:v>
      </x:c>
      <x:c r="E228" s="38" t="str">
        <x:v>Albarán TF 531,882 (16/12/2025)</x:v>
      </x:c>
      <x:c r="F228" s="38" t="str">
        <x:v>SG-60 AIRPACK</x:v>
      </x:c>
      <x:c r="G228" s="38" t="str">
        <x:v>JUEGO AMORTIGUADORES (4)</x:v>
      </x:c>
      <x:c r="H228" s="45" t="n">
        <x:v>1</x:v>
      </x:c>
      <x:c r="I228" s="47" t="n">
        <x:v>5.02</x:v>
      </x:c>
      <x:c r="J228" s="49" t="n">
        <x:v>0.4</x:v>
      </x:c>
      <x:c r="K228" s="51" t="n">
        <x:v>3.01</x:v>
      </x:c>
      <x:c r="L228" s="55" t="n">
        <x:v>0.07</x:v>
      </x:c>
    </x:row>
    <x:row r="229">
      <x:c r="B229" s="37" t="str">
        <x:v>Factura F/232,230</x:v>
      </x:c>
      <x:c r="C229" s="38" t="str">
        <x:v>Sánchez Arencibia, S.A.</x:v>
      </x:c>
      <x:c r="D229" s="38" t="str">
        <x:v>31/12/2025</x:v>
      </x:c>
      <x:c r="E229" s="38" t="str">
        <x:v>Albarán TF 532,005 (18/12/2025)</x:v>
      </x:c>
      <x:c r="F229" s="38" t="str">
        <x:v>9803-001-08F</x:v>
      </x:c>
      <x:c r="G229" s="38" t="str">
        <x:v>CANALETA 125X75 2 MTS.</x:v>
      </x:c>
      <x:c r="H229" s="45" t="n">
        <x:v>2</x:v>
      </x:c>
      <x:c r="I229" s="47" t="n">
        <x:v>20.68</x:v>
      </x:c>
      <x:c r="J229" s="49" t="n">
        <x:v>0.4</x:v>
      </x:c>
      <x:c r="K229" s="51" t="n">
        <x:v>24.82</x:v>
      </x:c>
      <x:c r="L229" s="55" t="n">
        <x:v>0.07</x:v>
      </x:c>
    </x:row>
    <x:row r="230">
      <x:c r="B230" s="37" t="str">
        <x:v>Factura F/232,230</x:v>
      </x:c>
      <x:c r="C230" s="38" t="str">
        <x:v>Sánchez Arencibia, S.A.</x:v>
      </x:c>
      <x:c r="D230" s="38" t="str">
        <x:v>31/12/2025</x:v>
      </x:c>
      <x:c r="E230" s="38" t="str">
        <x:v>Albarán TF 532,005 (18/12/2025)</x:v>
      </x:c>
      <x:c r="F230" s="38" t="str">
        <x:v>R-1600500</x:v>
      </x:c>
      <x:c r="G230" s="38" t="str">
        <x:v>SOPORTE CONDENSADORA</x:v>
      </x:c>
      <x:c r="H230" s="45" t="n">
        <x:v>1</x:v>
      </x:c>
      <x:c r="I230" s="47" t="n">
        <x:v>14.32</x:v>
      </x:c>
      <x:c r="J230" s="49" t="n">
        <x:v>0.4</x:v>
      </x:c>
      <x:c r="K230" s="51" t="n">
        <x:v>8.59</x:v>
      </x:c>
      <x:c r="L230" s="55" t="n">
        <x:v>0.07</x:v>
      </x:c>
    </x:row>
    <x:row r="231">
      <x:c r="B231" s="37" t="str">
        <x:v>Factura F/232,230</x:v>
      </x:c>
      <x:c r="C231" s="38" t="str">
        <x:v>Sánchez Arencibia, S.A.</x:v>
      </x:c>
      <x:c r="D231" s="38" t="str">
        <x:v>31/12/2025</x:v>
      </x:c>
      <x:c r="E231" s="38" t="str">
        <x:v>Albarán TF 532,005 (18/12/2025)</x:v>
      </x:c>
      <x:c r="F231" s="38" t="str">
        <x:v>AG-45 V1 INST.</x:v>
      </x:c>
      <x:c r="G231" s="38" t="str">
        <x:v>JUEGO AMORTIGUADORES (4)</x:v>
      </x:c>
      <x:c r="H231" s="45" t="n">
        <x:v>2</x:v>
      </x:c>
      <x:c r="I231" s="47" t="n">
        <x:v>2.87</x:v>
      </x:c>
      <x:c r="J231" s="49" t="n">
        <x:v>0.4</x:v>
      </x:c>
      <x:c r="K231" s="51" t="n">
        <x:v>3.44</x:v>
      </x:c>
      <x:c r="L231" s="55" t="n">
        <x:v>0.07</x:v>
      </x:c>
    </x:row>
    <x:row r="232">
      <x:c r="B232" s="37" t="str">
        <x:v>Factura F/232,230</x:v>
      </x:c>
      <x:c r="C232" s="38" t="str">
        <x:v>Sánchez Arencibia, S.A.</x:v>
      </x:c>
      <x:c r="D232" s="38" t="str">
        <x:v>31/12/2025</x:v>
      </x:c>
      <x:c r="E232" s="38" t="str">
        <x:v>Albarán TF 532,011 (18/12/2025)</x:v>
      </x:c>
      <x:c r="F232" s="38" t="str">
        <x:v>61281010</x:v>
      </x:c>
      <x:c r="G232" s="38" t="str">
        <x:v>TUERCA HEXAGONAL BUP M10</x:v>
      </x:c>
      <x:c r="H232" s="45" t="n">
        <x:v>8</x:v>
      </x:c>
      <x:c r="I232" s="47" t="n">
        <x:v>0.62</x:v>
      </x:c>
      <x:c r="J232" s="49" t="n">
        <x:v>0.75</x:v>
      </x:c>
      <x:c r="K232" s="51" t="n">
        <x:v>1.24</x:v>
      </x:c>
      <x:c r="L232" s="55" t="n">
        <x:v>0.07</x:v>
      </x:c>
    </x:row>
    <x:row r="233">
      <x:c r="B233" s="37" t="str">
        <x:v>Factura F/232,230</x:v>
      </x:c>
      <x:c r="C233" s="38" t="str">
        <x:v>Sánchez Arencibia, S.A.</x:v>
      </x:c>
      <x:c r="D233" s="38" t="str">
        <x:v>31/12/2025</x:v>
      </x:c>
      <x:c r="E233" s="38" t="str">
        <x:v>Albarán TF 532,011 (18/12/2025)</x:v>
      </x:c>
      <x:c r="F233" s="38" t="str">
        <x:v>652785804</x:v>
      </x:c>
      <x:c r="G233" s="38" t="str">
        <x:v>TORNILLO BUP HAMM M8X40 CP</x:v>
      </x:c>
      <x:c r="H233" s="45" t="n">
        <x:v>4</x:v>
      </x:c>
      <x:c r="I233" s="47" t="n">
        <x:v>5.25</x:v>
      </x:c>
      <x:c r="J233" s="49" t="n">
        <x:v>0.75</x:v>
      </x:c>
      <x:c r="K233" s="51" t="n">
        <x:v>5.25</x:v>
      </x:c>
      <x:c r="L233" s="55" t="n">
        <x:v>0.07</x:v>
      </x:c>
    </x:row>
    <x:row r="234">
      <x:c r="B234" s="37" t="str">
        <x:v>Factura F/232,230</x:v>
      </x:c>
      <x:c r="C234" s="38" t="str">
        <x:v>Sánchez Arencibia, S.A.</x:v>
      </x:c>
      <x:c r="D234" s="38" t="str">
        <x:v>31/12/2025</x:v>
      </x:c>
      <x:c r="E234" s="38" t="str">
        <x:v>Albarán TF 532,011 (18/12/2025)</x:v>
      </x:c>
      <x:c r="F234" s="38" t="str">
        <x:v>665185108</x:v>
      </x:c>
      <x:c r="G234" s="38" t="str">
        <x:v>TUERCA BUP HAMMERFIX M8</x:v>
      </x:c>
      <x:c r="H234" s="45" t="n">
        <x:v>8</x:v>
      </x:c>
      <x:c r="I234" s="47" t="n">
        <x:v>4.34</x:v>
      </x:c>
      <x:c r="J234" s="49" t="n">
        <x:v>0.75</x:v>
      </x:c>
      <x:c r="K234" s="51" t="n">
        <x:v>8.68</x:v>
      </x:c>
      <x:c r="L234" s="55" t="n">
        <x:v>0.07</x:v>
      </x:c>
    </x:row>
    <x:row r="235">
      <x:c r="B235" s="37" t="str">
        <x:v>Factura F/232,230</x:v>
      </x:c>
      <x:c r="C235" s="38" t="str">
        <x:v>Sánchez Arencibia, S.A.</x:v>
      </x:c>
      <x:c r="D235" s="38" t="str">
        <x:v>31/12/2025</x:v>
      </x:c>
      <x:c r="E235" s="38" t="str">
        <x:v>Albarán TF 532,078 (19/12/2025)</x:v>
      </x:c>
      <x:c r="F235" s="38" t="str">
        <x:v>6505225 (41/H)</x:v>
      </x:c>
      <x:c r="G235" s="38" t="str">
        <x:v>CARRIL PESADA 41X21X2.5 2MT</x:v>
      </x:c>
      <x:c r="H235" s="45" t="n">
        <x:v>3</x:v>
      </x:c>
      <x:c r="I235" s="47" t="n">
        <x:v>44.48</x:v>
      </x:c>
      <x:c r="J235" s="49" t="n">
        <x:v>0.75</x:v>
      </x:c>
      <x:c r="K235" s="51" t="n">
        <x:v>33.36</x:v>
      </x:c>
      <x:c r="L235" s="55" t="n">
        <x:v>0.07</x:v>
      </x:c>
    </x:row>
    <x:row r="236">
      <x:c r="B236" s="37" t="str">
        <x:v>Factura F/232,230</x:v>
      </x:c>
      <x:c r="C236" s="38" t="str">
        <x:v>Sánchez Arencibia, S.A.</x:v>
      </x:c>
      <x:c r="D236" s="38" t="str">
        <x:v>31/12/2025</x:v>
      </x:c>
      <x:c r="E236" s="38" t="str">
        <x:v>Albarán TF 532,078 (19/12/2025)</x:v>
      </x:c>
      <x:c r="F236" s="38" t="str">
        <x:v>1-1/8</x:v>
      </x:c>
      <x:c r="G236" s="38" t="str">
        <x:v>CODO SOLDAR</x:v>
      </x:c>
      <x:c r="H236" s="45" t="n">
        <x:v>5</x:v>
      </x:c>
      <x:c r="I236" s="47" t="n">
        <x:v>3.08</x:v>
      </x:c>
      <x:c r="J236" s="49" t="n">
        <x:v>0.34</x:v>
      </x:c>
      <x:c r="K236" s="51" t="n">
        <x:v>10.16</x:v>
      </x:c>
      <x:c r="L236" s="55" t="n">
        <x:v>0.07</x:v>
      </x:c>
    </x:row>
    <x:row r="237">
      <x:c r="B237" s="37" t="str">
        <x:v>Factura F/232,230</x:v>
      </x:c>
      <x:c r="C237" s="38" t="str">
        <x:v>Sánchez Arencibia, S.A.</x:v>
      </x:c>
      <x:c r="D237" s="38" t="str">
        <x:v>31/12/2025</x:v>
      </x:c>
      <x:c r="E237" s="38" t="str">
        <x:v>Albarán TF 532,078 (19/12/2025)</x:v>
      </x:c>
      <x:c r="F237" s="38" t="str">
        <x:v>1-1/8</x:v>
      </x:c>
      <x:c r="G237" s="38" t="str">
        <x:v>CURVA 90º</x:v>
      </x:c>
      <x:c r="H237" s="45" t="n">
        <x:v>5</x:v>
      </x:c>
      <x:c r="I237" s="47" t="n">
        <x:v>4.59</x:v>
      </x:c>
      <x:c r="J237" s="49" t="n">
        <x:v>0.34</x:v>
      </x:c>
      <x:c r="K237" s="51" t="n">
        <x:v>15.15</x:v>
      </x:c>
      <x:c r="L237" s="55" t="n">
        <x:v>0.07</x:v>
      </x:c>
    </x:row>
    <x:row r="238">
      <x:c r="B238" s="37" t="str">
        <x:v>Factura F/232,230</x:v>
      </x:c>
      <x:c r="C238" s="38" t="str">
        <x:v>Sánchez Arencibia, S.A.</x:v>
      </x:c>
      <x:c r="D238" s="38" t="str">
        <x:v>31/12/2025</x:v>
      </x:c>
      <x:c r="E238" s="38" t="str">
        <x:v>Albarán TF 532,078 (19/12/2025)</x:v>
      </x:c>
      <x:c r="F238" s="38" t="str">
        <x:v>1-1/8</x:v>
      </x:c>
      <x:c r="G238" s="38" t="str">
        <x:v>MANGUITO SOLDAR</x:v>
      </x:c>
      <x:c r="H238" s="45" t="n">
        <x:v>4</x:v>
      </x:c>
      <x:c r="I238" s="47" t="n">
        <x:v>2.14</x:v>
      </x:c>
      <x:c r="J238" s="49" t="n">
        <x:v>0.34</x:v>
      </x:c>
      <x:c r="K238" s="51" t="n">
        <x:v>5.65</x:v>
      </x:c>
      <x:c r="L238" s="55" t="n">
        <x:v>0.07</x:v>
      </x:c>
    </x:row>
    <x:row r="239">
      <x:c r="B239" s="37" t="str">
        <x:v>Factura F/232,230</x:v>
      </x:c>
      <x:c r="C239" s="38" t="str">
        <x:v>Sánchez Arencibia, S.A.</x:v>
      </x:c>
      <x:c r="D239" s="38" t="str">
        <x:v>31/12/2025</x:v>
      </x:c>
      <x:c r="E239" s="38" t="str">
        <x:v>Albarán TF 532,078 (19/12/2025)</x:v>
      </x:c>
      <x:c r="F239" s="38" t="str">
        <x:v>ACE/P-25X028</x:v>
      </x:c>
      <x:c r="G239" s="38" t="str">
        <x:v>ACE/P ARMAFLEX TIRA 2 MTS.</x:v>
      </x:c>
      <x:c r="H239" s="45" t="n">
        <x:v>1</x:v>
      </x:c>
      <x:c r="I239" s="47" t="n">
        <x:v>11.07</x:v>
      </x:c>
      <x:c r="J239" s="49" t="n">
        <x:v>0.37</x:v>
      </x:c>
      <x:c r="K239" s="51" t="n">
        <x:v>6.97</x:v>
      </x:c>
      <x:c r="L239" s="55" t="n">
        <x:v>0.03</x:v>
      </x:c>
    </x:row>
    <x:row r="240">
      <x:c r="B240" s="37" t="str">
        <x:v>Factura F/230,238</x:v>
      </x:c>
      <x:c r="C240" s="38" t="str">
        <x:v>Sánchez Arencibia, S.A.</x:v>
      </x:c>
      <x:c r="D240" s="38" t="str">
        <x:v>30/09/2025</x:v>
      </x:c>
      <x:c r="E240" s="38" t="str">
        <x:v>Albarán TF 526,780 (17/09/2025)</x:v>
      </x:c>
      <x:c r="F240" s="38" t="str">
        <x:v>BIPOL. 1/4+1/2</x:v>
      </x:c>
      <x:c r="G240" s="38" t="str">
        <x:v>TUBO COBRE AISL. 20 MTS</x:v>
      </x:c>
      <x:c r="H240" s="45" t="n">
        <x:v>2</x:v>
      </x:c>
      <x:c r="I240" s="47" t="n">
        <x:v>142.6</x:v>
      </x:c>
      <x:c r="J240" s="49" t="n">
        <x:v>0.3</x:v>
      </x:c>
      <x:c r="K240" s="51" t="n">
        <x:v>199.64</x:v>
      </x:c>
      <x:c r="L240" s="55" t="n">
        <x:v>0.07</x:v>
      </x:c>
    </x:row>
    <x:row r="241">
      <x:c r="B241" s="37" t="str">
        <x:v>Factura F/230,238</x:v>
      </x:c>
      <x:c r="C241" s="38" t="str">
        <x:v>Sánchez Arencibia, S.A.</x:v>
      </x:c>
      <x:c r="D241" s="38" t="str">
        <x:v>30/09/2025</x:v>
      </x:c>
      <x:c r="E241" s="38" t="str">
        <x:v>Albarán TF 526,780 (17/09/2025)</x:v>
      </x:c>
      <x:c r="F241" s="38" t="str">
        <x:v>BIPOL. 1/4+3/8</x:v>
      </x:c>
      <x:c r="G241" s="38" t="str">
        <x:v>TUBO COBRE AISL. 20 MTS</x:v>
      </x:c>
      <x:c r="H241" s="45" t="n">
        <x:v>4</x:v>
      </x:c>
      <x:c r="I241" s="47" t="n">
        <x:v>123.5</x:v>
      </x:c>
      <x:c r="J241" s="49" t="n">
        <x:v>0.3</x:v>
      </x:c>
      <x:c r="K241" s="51" t="n">
        <x:v>345.8</x:v>
      </x:c>
      <x:c r="L241" s="55" t="n">
        <x:v>0.07</x:v>
      </x:c>
    </x:row>
    <x:row r="242">
      <x:c r="B242" s="37" t="str">
        <x:v>Factura F/230,238</x:v>
      </x:c>
      <x:c r="C242" s="38" t="str">
        <x:v>Sánchez Arencibia, S.A.</x:v>
      </x:c>
      <x:c r="D242" s="38" t="str">
        <x:v>30/09/2025</x:v>
      </x:c>
      <x:c r="E242" s="38" t="str">
        <x:v>Albarán TF 526,780 (17/09/2025)</x:v>
      </x:c>
      <x:c r="F242" s="38" t="str">
        <x:v>BIPOL. 3/8+5/8</x:v>
      </x:c>
      <x:c r="G242" s="38" t="str">
        <x:v>TUBO COBRE AISL. 20 MTS</x:v>
      </x:c>
      <x:c r="H242" s="45" t="n">
        <x:v>1</x:v>
      </x:c>
      <x:c r="I242" s="47" t="n">
        <x:v>231</x:v>
      </x:c>
      <x:c r="J242" s="49" t="n">
        <x:v>0.3</x:v>
      </x:c>
      <x:c r="K242" s="51" t="n">
        <x:v>161.7</x:v>
      </x:c>
      <x:c r="L242" s="55" t="n">
        <x:v>0.07</x:v>
      </x:c>
    </x:row>
    <x:row r="243">
      <x:c r="B243" s="37" t="str">
        <x:v>Factura F/230,238</x:v>
      </x:c>
      <x:c r="C243" s="38" t="str">
        <x:v>Sánchez Arencibia, S.A.</x:v>
      </x:c>
      <x:c r="D243" s="38" t="str">
        <x:v>30/09/2025</x:v>
      </x:c>
      <x:c r="E243" s="38" t="str">
        <x:v>Albarán TF 526,780 (17/09/2025)</x:v>
      </x:c>
      <x:c r="F243" s="38" t="str">
        <x:v>SG-60 AIRPACK</x:v>
      </x:c>
      <x:c r="G243" s="38" t="str">
        <x:v>JUEGO AMORTIGUADORES (4)</x:v>
      </x:c>
      <x:c r="H243" s="45" t="n">
        <x:v>6</x:v>
      </x:c>
      <x:c r="I243" s="47" t="n">
        <x:v>5.02</x:v>
      </x:c>
      <x:c r="J243" s="49" t="n">
        <x:v>0.4</x:v>
      </x:c>
      <x:c r="K243" s="51" t="n">
        <x:v>18.07</x:v>
      </x:c>
      <x:c r="L243" s="55" t="n">
        <x:v>0.07</x:v>
      </x:c>
    </x:row>
    <x:row r="244">
      <x:c r="B244" s="37" t="str">
        <x:v>Factura F/230,238</x:v>
      </x:c>
      <x:c r="C244" s="38" t="str">
        <x:v>Sánchez Arencibia, S.A.</x:v>
      </x:c>
      <x:c r="D244" s="38" t="str">
        <x:v>30/09/2025</x:v>
      </x:c>
      <x:c r="E244" s="38" t="str">
        <x:v>Albarán TF 526,780 (17/09/2025)</x:v>
      </x:c>
      <x:c r="F244" s="38" t="str">
        <x:v>65018327 (BUP)</x:v>
      </x:c>
      <x:c r="G244" s="38" t="str">
        <x:v>CARRIL PESADA 41X21X2.5 3MT</x:v>
      </x:c>
      <x:c r="H244" s="45" t="n">
        <x:v>2</x:v>
      </x:c>
      <x:c r="I244" s="47" t="n">
        <x:v>86.42</x:v>
      </x:c>
      <x:c r="J244" s="49" t="n">
        <x:v>0.75</x:v>
      </x:c>
      <x:c r="K244" s="51" t="n">
        <x:v>43.21</x:v>
      </x:c>
      <x:c r="L244" s="55" t="n">
        <x:v>0.07</x:v>
      </x:c>
    </x:row>
    <x:row r="245">
      <x:c r="B245" s="37" t="str">
        <x:v>Factura F/230,238</x:v>
      </x:c>
      <x:c r="C245" s="38" t="str">
        <x:v>Sánchez Arencibia, S.A.</x:v>
      </x:c>
      <x:c r="D245" s="38" t="str">
        <x:v>30/09/2025</x:v>
      </x:c>
      <x:c r="E245" s="38" t="str">
        <x:v>Albarán TF 526,780 (17/09/2025)</x:v>
      </x:c>
      <x:c r="F245" s="38" t="str">
        <x:v>652785804</x:v>
      </x:c>
      <x:c r="G245" s="38" t="str">
        <x:v>TORNILLO BUP HAMM M8X40 CP</x:v>
      </x:c>
      <x:c r="H245" s="45" t="n">
        <x:v>4</x:v>
      </x:c>
      <x:c r="I245" s="47" t="n">
        <x:v>5.25</x:v>
      </x:c>
      <x:c r="J245" s="49" t="n">
        <x:v>0.75</x:v>
      </x:c>
      <x:c r="K245" s="51" t="n">
        <x:v>5.25</x:v>
      </x:c>
      <x:c r="L245" s="55" t="n">
        <x:v>0.07</x:v>
      </x:c>
    </x:row>
    <x:row r="246">
      <x:c r="B246" s="37" t="str">
        <x:v>Factura 92484126</x:v>
      </x:c>
      <x:c r="C246" s="38" t="str">
        <x:v>Comercial Eléctrica Canarias, S.A.</x:v>
      </x:c>
      <x:c r="D246" s="38" t="str">
        <x:v>15/06/2026</x:v>
      </x:c>
      <x:c r="E246" s="38" t="str">
        <x:v>Albarán 132.898/013 (03/06/2026)</x:v>
      </x:c>
      <x:c r="F246" s="38" t="str">
        <x:v>CABLE / 5551446</x:v>
      </x:c>
      <x:c r="G246" s="38" t="str">
        <x:v>CABLE RZ1-K CPR 0.6/1KV 4G1.5</x:v>
      </x:c>
      <x:c r="H246" s="45" t="n">
        <x:v>50</x:v>
      </x:c>
      <x:c r="I246" s="47" t="n">
        <x:v>1.242</x:v>
      </x:c>
      <x:c r="J246" s="49" t="n">
        <x:v>0</x:v>
      </x:c>
      <x:c r="K246" s="51" t="n">
        <x:v>62.1</x:v>
      </x:c>
      <x:c r="L246" s="55" t="n">
        <x:v>0.07</x:v>
      </x:c>
    </x:row>
    <x:row r="247">
      <x:c r="B247" s="37" t="str">
        <x:v>Factura 92484126</x:v>
      </x:c>
      <x:c r="C247" s="38" t="str">
        <x:v>Comercial Eléctrica Canarias, S.A.</x:v>
      </x:c>
      <x:c r="D247" s="38" t="str">
        <x:v>15/06/2026</x:v>
      </x:c>
      <x:c r="E247" s="38" t="str">
        <x:v>Albarán 132.973/013 (08/06/2026)</x:v>
      </x:c>
      <x:c r="F247" s="38" t="str">
        <x:v>GEW-GW44024 / 944024</x:v>
      </x:c>
      <x:c r="G247" s="38" t="str">
        <x:v>CAJA DERIV.100x100x50 IP55</x:v>
      </x:c>
      <x:c r="H247" s="45" t="n">
        <x:v>2</x:v>
      </x:c>
      <x:c r="I247" s="47" t="n">
        <x:v>1.584</x:v>
      </x:c>
      <x:c r="J247" s="49" t="n">
        <x:v>0</x:v>
      </x:c>
      <x:c r="K247" s="51" t="n">
        <x:v>3.17</x:v>
      </x:c>
      <x:c r="L247" s="55" t="n">
        <x:v>0.07</x:v>
      </x:c>
    </x:row>
    <x:row r="248">
      <x:c r="B248" s="37" t="str">
        <x:v>Factura 92484126</x:v>
      </x:c>
      <x:c r="C248" s="38" t="str">
        <x:v>Comercial Eléctrica Canarias, S.A.</x:v>
      </x:c>
      <x:c r="D248" s="38" t="str">
        <x:v>15/06/2026</x:v>
      </x:c>
      <x:c r="E248" s="38" t="str">
        <x:v>Albarán 162.995/016 (04/06/2026)</x:v>
      </x:c>
      <x:c r="F248" s="38" t="str">
        <x:v>D1L0110823 / 202376</x:v>
      </x:c>
      <x:c r="G248" s="38" t="str">
        <x:v>DPN 1MOD. 1P+N 16A C 6KA</x:v>
      </x:c>
      <x:c r="H248" s="45" t="n">
        <x:v>2</x:v>
      </x:c>
      <x:c r="I248" s="47" t="n">
        <x:v>6.84</x:v>
      </x:c>
      <x:c r="J248" s="49" t="n">
        <x:v>0</x:v>
      </x:c>
      <x:c r="K248" s="51" t="n">
        <x:v>13.68</x:v>
      </x:c>
      <x:c r="L248" s="55" t="n">
        <x:v>0.07</x:v>
      </x:c>
    </x:row>
    <x:row r="249">
      <x:c r="B249" s="37" t="str">
        <x:v>Factura 92484126</x:v>
      </x:c>
      <x:c r="C249" s="38" t="str">
        <x:v>Comercial Eléctrica Canarias, S.A.</x:v>
      </x:c>
      <x:c r="D249" s="38" t="str">
        <x:v>15/06/2026</x:v>
      </x:c>
      <x:c r="E249" s="38" t="str">
        <x:v>Albarán 163.154/016 (15/06/2026)</x:v>
      </x:c>
      <x:c r="F249" s="38" t="str">
        <x:v>RBL-LEDPANEL18F / 592253</x:v>
      </x:c>
      <x:c r="G249" s="38" t="str">
        <x:v>DOWNLIGHT LED 18W 4000K BLANCO</x:v>
      </x:c>
      <x:c r="H249" s="45" t="n">
        <x:v>1</x:v>
      </x:c>
      <x:c r="I249" s="47" t="n">
        <x:v>7.691</x:v>
      </x:c>
      <x:c r="J249" s="49" t="n">
        <x:v>0</x:v>
      </x:c>
      <x:c r="K249" s="51" t="n">
        <x:v>7.77</x:v>
      </x:c>
      <x:c r="L249" s="55" t="n">
        <x:v>0.07</x:v>
      </x:c>
    </x:row>
    <x:row r="250">
      <x:c r="B250" s="37" t="str">
        <x:v>Factura 92484126</x:v>
      </x:c>
      <x:c r="C250" s="38" t="str">
        <x:v>Comercial Eléctrica Canarias, S.A.</x:v>
      </x:c>
      <x:c r="D250" s="38" t="str">
        <x:v>15/06/2026</x:v>
      </x:c>
      <x:c r="E250" s="38" t="str">
        <x:v>Albarán 302.787/001 (03/06/2026)</x:v>
      </x:c>
      <x:c r="F250" s="38" t="str">
        <x:v>CABLE / 555165</x:v>
      </x:c>
      <x:c r="G250" s="38" t="str">
        <x:v>CABLE H07Z1-K CPR 1X2.5 AZUL</x:v>
      </x:c>
      <x:c r="H250" s="45" t="n">
        <x:v>200</x:v>
      </x:c>
      <x:c r="I250" s="47" t="n">
        <x:v>0.412</x:v>
      </x:c>
      <x:c r="J250" s="49" t="n">
        <x:v>0</x:v>
      </x:c>
      <x:c r="K250" s="51" t="n">
        <x:v>82.4</x:v>
      </x:c>
      <x:c r="L250" s="55" t="n">
        <x:v>0.07</x:v>
      </x:c>
    </x:row>
    <x:row r="251">
      <x:c r="B251" s="37" t="str">
        <x:v>Factura 92484126</x:v>
      </x:c>
      <x:c r="C251" s="38" t="str">
        <x:v>Comercial Eléctrica Canarias, S.A.</x:v>
      </x:c>
      <x:c r="D251" s="38" t="str">
        <x:v>15/06/2026</x:v>
      </x:c>
      <x:c r="E251" s="38" t="str">
        <x:v>Albarán 302.787/001 (03/06/2026)</x:v>
      </x:c>
      <x:c r="F251" s="38" t="str">
        <x:v>ABK-0-65-411 / 19896352</x:v>
      </x:c>
      <x:c r="G251" s="38" t="str">
        <x:v>DESTORN.PLANO 3.5x75 1KV</x:v>
      </x:c>
      <x:c r="H251" s="45" t="n">
        <x:v>1</x:v>
      </x:c>
      <x:c r="I251" s="47" t="n">
        <x:v>6.37</x:v>
      </x:c>
      <x:c r="J251" s="49" t="n">
        <x:v>0</x:v>
      </x:c>
      <x:c r="K251" s="51" t="n">
        <x:v>6.37</x:v>
      </x:c>
      <x:c r="L251" s="55" t="n">
        <x:v>0.07</x:v>
      </x:c>
    </x:row>
    <x:row r="252">
      <x:c r="B252" s="37" t="str">
        <x:v>Factura 92484126</x:v>
      </x:c>
      <x:c r="C252" s="38" t="str">
        <x:v>Comercial Eléctrica Canarias, S.A.</x:v>
      </x:c>
      <x:c r="D252" s="38" t="str">
        <x:v>15/06/2026</x:v>
      </x:c>
      <x:c r="E252" s="38" t="str">
        <x:v>Albarán 302.787/001 (03/06/2026)</x:v>
      </x:c>
      <x:c r="F252" s="38" t="str">
        <x:v>ABK-0-65-412 / 19896353</x:v>
      </x:c>
      <x:c r="G252" s="38" t="str">
        <x:v>DESTORN.PLANO 4x100 1KV</x:v>
      </x:c>
      <x:c r="H252" s="45" t="n">
        <x:v>1</x:v>
      </x:c>
      <x:c r="I252" s="47" t="n">
        <x:v>6.68</x:v>
      </x:c>
      <x:c r="J252" s="49" t="n">
        <x:v>0</x:v>
      </x:c>
      <x:c r="K252" s="51" t="n">
        <x:v>6.68</x:v>
      </x:c>
      <x:c r="L252" s="55" t="n">
        <x:v>0.07</x:v>
      </x:c>
    </x:row>
    <x:row r="253">
      <x:c r="B253" s="37" t="str">
        <x:v>Factura 92187726</x:v>
      </x:c>
      <x:c r="C253" s="38" t="str">
        <x:v>Comercial Eléctrica Canarias, S.A.</x:v>
      </x:c>
      <x:c r="D253" s="38" t="str">
        <x:v>31/05/2026</x:v>
      </x:c>
      <x:c r="E253" s="38" t="str">
        <x:v>Albarán 132.638/013 (20/05/2026)</x:v>
      </x:c>
      <x:c r="F253" s="38" t="str">
        <x:v>06240019R0 / 202070</x:v>
      </x:c>
      <x:c r="G253" s="38" t="str">
        <x:v>DIFERENCIAL 4P 40A 30mA AC</x:v>
      </x:c>
      <x:c r="H253" s="45" t="n">
        <x:v>-1</x:v>
      </x:c>
      <x:c r="I253" s="47" t="n">
        <x:v>35.35</x:v>
      </x:c>
      <x:c r="J253" s="49" t="n">
        <x:v>0</x:v>
      </x:c>
      <x:c r="K253" s="51" t="n">
        <x:v>-35.35</x:v>
      </x:c>
      <x:c r="L253" s="55" t="n">
        <x:v>0.07</x:v>
      </x:c>
    </x:row>
    <x:row r="254">
      <x:c r="B254" s="37" t="str">
        <x:v>Factura 92240926</x:v>
      </x:c>
      <x:c r="C254" s="38" t="str">
        <x:v>Comercial Eléctrica Canarias, S.A.</x:v>
      </x:c>
      <x:c r="D254" s="38" t="str">
        <x:v>31/05/2026</x:v>
      </x:c>
      <x:c r="E254" s="38" t="str">
        <x:v>Albarán 110.672/011 (22/05/2026)</x:v>
      </x:c>
      <x:c r="F254" s="38" t="str">
        <x:v>GEW-DX40125 / 9401259</x:v>
      </x:c>
      <x:c r="G254" s="38" t="str">
        <x:v>CURVA RKS GRIS IP40 M25</x:v>
      </x:c>
      <x:c r="H254" s="45" t="n">
        <x:v>2</x:v>
      </x:c>
      <x:c r="I254" s="47" t="n">
        <x:v>0.908</x:v>
      </x:c>
      <x:c r="J254" s="49" t="n">
        <x:v>0</x:v>
      </x:c>
      <x:c r="K254" s="51" t="n">
        <x:v>1.82</x:v>
      </x:c>
      <x:c r="L254" s="55" t="n">
        <x:v>0.03</x:v>
      </x:c>
    </x:row>
    <x:row r="255">
      <x:c r="B255" s="37" t="str">
        <x:v>Factura 92240926</x:v>
      </x:c>
      <x:c r="C255" s="38" t="str">
        <x:v>Comercial Eléctrica Canarias, S.A.</x:v>
      </x:c>
      <x:c r="D255" s="38" t="str">
        <x:v>31/05/2026</x:v>
      </x:c>
      <x:c r="E255" s="38" t="str">
        <x:v>Albarán 110.672/011 (22/05/2026)</x:v>
      </x:c>
      <x:c r="F255" s="38" t="str">
        <x:v>OBO-2153726 / 4781</x:v>
      </x:c>
      <x:c r="G255" s="38" t="str">
        <x:v>ABRAZADERA M-QUICK GRIS M20-25</x:v>
      </x:c>
      <x:c r="H255" s="45" t="n">
        <x:v>6</x:v>
      </x:c>
      <x:c r="I255" s="47" t="n">
        <x:v>0.417</x:v>
      </x:c>
      <x:c r="J255" s="49" t="n">
        <x:v>0</x:v>
      </x:c>
      <x:c r="K255" s="51" t="n">
        <x:v>2.5</x:v>
      </x:c>
      <x:c r="L255" s="55" t="n">
        <x:v>0.03</x:v>
      </x:c>
    </x:row>
    <x:row r="256">
      <x:c r="B256" s="37" t="str">
        <x:v>Factura 92240926</x:v>
      </x:c>
      <x:c r="C256" s="38" t="str">
        <x:v>Comercial Eléctrica Canarias, S.A.</x:v>
      </x:c>
      <x:c r="D256" s="38" t="str">
        <x:v>31/05/2026</x:v>
      </x:c>
      <x:c r="E256" s="38" t="str">
        <x:v>Albarán 110.672/011 (22/05/2026)</x:v>
      </x:c>
      <x:c r="F256" s="38" t="str">
        <x:v>CABLE / 5551477</x:v>
      </x:c>
      <x:c r="G256" s="38" t="str">
        <x:v>CABLE RZ1-K CPR 3G2.5 ROLLO</x:v>
      </x:c>
      <x:c r="H256" s="45" t="n">
        <x:v>40</x:v>
      </x:c>
      <x:c r="I256" s="47" t="n">
        <x:v>1.476</x:v>
      </x:c>
      <x:c r="J256" s="49" t="n">
        <x:v>0</x:v>
      </x:c>
      <x:c r="K256" s="51" t="n">
        <x:v>59.04</x:v>
      </x:c>
      <x:c r="L256" s="55" t="n">
        <x:v>0.07</x:v>
      </x:c>
    </x:row>
    <x:row r="257">
      <x:c r="B257" s="37" t="str">
        <x:v>Factura 92240926</x:v>
      </x:c>
      <x:c r="C257" s="38" t="str">
        <x:v>Comercial Eléctrica Canarias, S.A.</x:v>
      </x:c>
      <x:c r="D257" s="38" t="str">
        <x:v>31/05/2026</x:v>
      </x:c>
      <x:c r="E257" s="38" t="str">
        <x:v>Albarán 132.592/013 (19/05/2026)</x:v>
      </x:c>
      <x:c r="F257" s="38" t="str">
        <x:v>FAM-9/806 / 698060</x:v>
      </x:c>
      <x:c r="G257" s="38" t="str">
        <x:v>BASE 6T 3Mt.C/INTER.ECO</x:v>
      </x:c>
      <x:c r="H257" s="45" t="n">
        <x:v>1</x:v>
      </x:c>
      <x:c r="I257" s="47" t="n">
        <x:v>10.971</x:v>
      </x:c>
      <x:c r="J257" s="49" t="n">
        <x:v>0.05</x:v>
      </x:c>
      <x:c r="K257" s="51" t="n">
        <x:v>10.42</x:v>
      </x:c>
      <x:c r="L257" s="55" t="n">
        <x:v>0.07</x:v>
      </x:c>
    </x:row>
    <x:row r="258">
      <x:c r="B258" s="37" t="str">
        <x:v>Factura 92240926</x:v>
      </x:c>
      <x:c r="C258" s="38" t="str">
        <x:v>Comercial Eléctrica Canarias, S.A.</x:v>
      </x:c>
      <x:c r="D258" s="38" t="str">
        <x:v>31/05/2026</x:v>
      </x:c>
      <x:c r="E258" s="38" t="str">
        <x:v>Albarán 132.592/013 (19/05/2026)</x:v>
      </x:c>
      <x:c r="F258" s="38" t="str">
        <x:v>GUI-WLTA0451-2WH / 704512</x:v>
      </x:c>
      <x:c r="G258" s="38" t="str">
        <x:v>BASE 5T.1.5Mt C/INTERR.BLANCO</x:v>
      </x:c>
      <x:c r="H258" s="45" t="n">
        <x:v>1</x:v>
      </x:c>
      <x:c r="I258" s="47" t="n">
        <x:v>11.312</x:v>
      </x:c>
      <x:c r="J258" s="49" t="n">
        <x:v>0.05</x:v>
      </x:c>
      <x:c r="K258" s="51" t="n">
        <x:v>10.75</x:v>
      </x:c>
      <x:c r="L258" s="55" t="n">
        <x:v>0.07</x:v>
      </x:c>
    </x:row>
    <x:row r="259">
      <x:c r="B259" s="37" t="str">
        <x:v>Factura 92240926</x:v>
      </x:c>
      <x:c r="C259" s="38" t="str">
        <x:v>Comercial Eléctrica Canarias, S.A.</x:v>
      </x:c>
      <x:c r="D259" s="38" t="str">
        <x:v>31/05/2026</x:v>
      </x:c>
      <x:c r="E259" s="38" t="str">
        <x:v>Albarán 132.593/013 (19/05/2026)</x:v>
      </x:c>
      <x:c r="F259" s="38" t="str">
        <x:v>GON-PO2XB / 541054</x:v>
      </x:c>
      <x:c r="G259" s="38" t="str">
        <x:v>DOWNL 18W IP20/52 2750LM CCT</x:v>
      </x:c>
      <x:c r="H259" s="45" t="n">
        <x:v>1</x:v>
      </x:c>
      <x:c r="I259" s="47" t="n">
        <x:v>19.55</x:v>
      </x:c>
      <x:c r="J259" s="49" t="n">
        <x:v>0</x:v>
      </x:c>
      <x:c r="K259" s="51" t="n">
        <x:v>19.55</x:v>
      </x:c>
      <x:c r="L259" s="55" t="n">
        <x:v>0.07</x:v>
      </x:c>
    </x:row>
    <x:row r="260">
      <x:c r="B260" s="37" t="str">
        <x:v>Factura 92240926</x:v>
      </x:c>
      <x:c r="C260" s="38" t="str">
        <x:v>Comercial Eléctrica Canarias, S.A.</x:v>
      </x:c>
      <x:c r="D260" s="38" t="str">
        <x:v>31/05/2026</x:v>
      </x:c>
      <x:c r="E260" s="38" t="str">
        <x:v>Albarán 132.627/013 (20/05/2026)</x:v>
      </x:c>
      <x:c r="F260" s="38" t="str">
        <x:v>CM142540230 / 202092</x:v>
      </x:c>
      <x:c r="G260" s="38" t="str">
        <x:v>CONTACTOR MOD 4P 25A 4NO 230V</x:v>
      </x:c>
      <x:c r="H260" s="45" t="n">
        <x:v>1</x:v>
      </x:c>
      <x:c r="I260" s="47" t="n">
        <x:v>30.44</x:v>
      </x:c>
      <x:c r="J260" s="49" t="n">
        <x:v>0</x:v>
      </x:c>
      <x:c r="K260" s="51" t="n">
        <x:v>30.44</x:v>
      </x:c>
      <x:c r="L260" s="55" t="n">
        <x:v>0.07</x:v>
      </x:c>
    </x:row>
    <x:row r="261">
      <x:c r="B261" s="37" t="str">
        <x:v>Factura 92240926</x:v>
      </x:c>
      <x:c r="C261" s="38" t="str">
        <x:v>Comercial Eléctrica Canarias, S.A.</x:v>
      </x:c>
      <x:c r="D261" s="38" t="str">
        <x:v>31/05/2026</x:v>
      </x:c>
      <x:c r="E261" s="38" t="str">
        <x:v>Albarán 132.627/013 (20/05/2026)</x:v>
      </x:c>
      <x:c r="F261" s="38" t="str">
        <x:v>ELK-36126 / 2336126</x:v>
      </x:c>
      <x:c r="G261" s="38" t="str">
        <x:v>LINTERNA RECARG+SOLAR+ROJ.10W</x:v>
      </x:c>
      <x:c r="H261" s="45" t="n">
        <x:v>1</x:v>
      </x:c>
      <x:c r="I261" s="47" t="n">
        <x:v>14</x:v>
      </x:c>
      <x:c r="J261" s="49" t="n">
        <x:v>0</x:v>
      </x:c>
      <x:c r="K261" s="51" t="n">
        <x:v>14.12</x:v>
      </x:c>
      <x:c r="L261" s="55" t="n">
        <x:v>0.07</x:v>
      </x:c>
    </x:row>
    <x:row r="262">
      <x:c r="B262" s="37" t="str">
        <x:v>Factura 92240926</x:v>
      </x:c>
      <x:c r="C262" s="38" t="str">
        <x:v>Comercial Eléctrica Canarias, S.A.</x:v>
      </x:c>
      <x:c r="D262" s="38" t="str">
        <x:v>31/05/2026</x:v>
      </x:c>
      <x:c r="E262" s="38" t="str">
        <x:v>Albarán 132.633/013 (20/05/2026)</x:v>
      </x:c>
      <x:c r="F262" s="38" t="str">
        <x:v>CABLE / 555162</x:v>
      </x:c>
      <x:c r="G262" s="38" t="str">
        <x:v>CABLE H07Z1-K CPR 1X2.5 NEGRO</x:v>
      </x:c>
      <x:c r="H262" s="45" t="n">
        <x:v>10</x:v>
      </x:c>
      <x:c r="I262" s="47" t="n">
        <x:v>0.412</x:v>
      </x:c>
      <x:c r="J262" s="49" t="n">
        <x:v>0</x:v>
      </x:c>
      <x:c r="K262" s="51" t="n">
        <x:v>4.12</x:v>
      </x:c>
      <x:c r="L262" s="55" t="n">
        <x:v>0.07</x:v>
      </x:c>
    </x:row>
    <x:row r="263">
      <x:c r="B263" s="37" t="str">
        <x:v>Factura 92240926</x:v>
      </x:c>
      <x:c r="C263" s="38" t="str">
        <x:v>Comercial Eléctrica Canarias, S.A.</x:v>
      </x:c>
      <x:c r="D263" s="38" t="str">
        <x:v>31/05/2026</x:v>
      </x:c>
      <x:c r="E263" s="38" t="str">
        <x:v>Albarán 132.633/013 (20/05/2026)</x:v>
      </x:c>
      <x:c r="F263" s="38" t="str">
        <x:v>CABLE / 555163</x:v>
      </x:c>
      <x:c r="G263" s="38" t="str">
        <x:v>CABLE H07Z1-K CPR 1X2.5 MARRON</x:v>
      </x:c>
      <x:c r="H263" s="45" t="n">
        <x:v>10</x:v>
      </x:c>
      <x:c r="I263" s="47" t="n">
        <x:v>0.412</x:v>
      </x:c>
      <x:c r="J263" s="49" t="n">
        <x:v>0</x:v>
      </x:c>
      <x:c r="K263" s="51" t="n">
        <x:v>4.12</x:v>
      </x:c>
      <x:c r="L263" s="55" t="n">
        <x:v>0.07</x:v>
      </x:c>
    </x:row>
    <x:row r="264">
      <x:c r="B264" s="37" t="str">
        <x:v>Factura 92240926</x:v>
      </x:c>
      <x:c r="C264" s="38" t="str">
        <x:v>Comercial Eléctrica Canarias, S.A.</x:v>
      </x:c>
      <x:c r="D264" s="38" t="str">
        <x:v>31/05/2026</x:v>
      </x:c>
      <x:c r="E264" s="38" t="str">
        <x:v>Albarán 132.633/013 (20/05/2026)</x:v>
      </x:c>
      <x:c r="F264" s="38" t="str">
        <x:v>CABLE / 555164</x:v>
      </x:c>
      <x:c r="G264" s="38" t="str">
        <x:v>CABLE H07Z1-K CPR 1X2.5 GRIS</x:v>
      </x:c>
      <x:c r="H264" s="45" t="n">
        <x:v>10</x:v>
      </x:c>
      <x:c r="I264" s="47" t="n">
        <x:v>0.412</x:v>
      </x:c>
      <x:c r="J264" s="49" t="n">
        <x:v>0</x:v>
      </x:c>
      <x:c r="K264" s="51" t="n">
        <x:v>4.12</x:v>
      </x:c>
      <x:c r="L264" s="55" t="n">
        <x:v>0.07</x:v>
      </x:c>
    </x:row>
    <x:row r="265">
      <x:c r="B265" s="37" t="str">
        <x:v>Factura 92240926</x:v>
      </x:c>
      <x:c r="C265" s="38" t="str">
        <x:v>Comercial Eléctrica Canarias, S.A.</x:v>
      </x:c>
      <x:c r="D265" s="38" t="str">
        <x:v>31/05/2026</x:v>
      </x:c>
      <x:c r="E265" s="38" t="str">
        <x:v>Albarán 132.633/013 (20/05/2026)</x:v>
      </x:c>
      <x:c r="F265" s="38" t="str">
        <x:v>06240019R0 / 202070</x:v>
      </x:c>
      <x:c r="G265" s="38" t="str">
        <x:v>DIFERENCIAL 4P 40A 30mA AC</x:v>
      </x:c>
      <x:c r="H265" s="45" t="n">
        <x:v>1</x:v>
      </x:c>
      <x:c r="I265" s="47" t="n">
        <x:v>35.35</x:v>
      </x:c>
      <x:c r="J265" s="49" t="n">
        <x:v>0</x:v>
      </x:c>
      <x:c r="K265" s="51" t="n">
        <x:v>35.35</x:v>
      </x:c>
      <x:c r="L265" s="55" t="n">
        <x:v>0.07</x:v>
      </x:c>
    </x:row>
    <x:row r="266">
      <x:c r="B266" s="37" t="str">
        <x:v>Factura 92240926</x:v>
      </x:c>
      <x:c r="C266" s="38" t="str">
        <x:v>Comercial Eléctrica Canarias, S.A.</x:v>
      </x:c>
      <x:c r="D266" s="38" t="str">
        <x:v>31/05/2026</x:v>
      </x:c>
      <x:c r="E266" s="38" t="str">
        <x:v>Albarán 132.639/013 (20/05/2026)</x:v>
      </x:c>
      <x:c r="F266" s="38" t="str">
        <x:v>EFA-45677 SBR / 25456770</x:v>
      </x:c>
      <x:c r="G266" s="38" t="str">
        <x:v>TAPA CIEGA 2 MODULOS BLA Q45</x:v>
      </x:c>
      <x:c r="H266" s="45" t="n">
        <x:v>3</x:v>
      </x:c>
      <x:c r="I266" s="47" t="n">
        <x:v>0.996</x:v>
      </x:c>
      <x:c r="J266" s="49" t="n">
        <x:v>0</x:v>
      </x:c>
      <x:c r="K266" s="51" t="n">
        <x:v>2.99</x:v>
      </x:c>
      <x:c r="L266" s="55" t="n">
        <x:v>0.07</x:v>
      </x:c>
    </x:row>
    <x:row r="267">
      <x:c r="B267" s="37" t="str">
        <x:v>Factura 92240926</x:v>
      </x:c>
      <x:c r="C267" s="38" t="str">
        <x:v>Comercial Eléctrica Canarias, S.A.</x:v>
      </x:c>
      <x:c r="D267" s="38" t="str">
        <x:v>31/05/2026</x:v>
      </x:c>
      <x:c r="E267" s="38" t="str">
        <x:v>Albarán 132.639/013 (20/05/2026)</x:v>
      </x:c>
      <x:c r="F267" s="38" t="str">
        <x:v>83412 SBR / 25834120</x:v>
      </x:c>
      <x:c r="G267" s="38" t="str">
        <x:v>PUESTO TRABAJO SUPF.3Fx4MOD</x:v>
      </x:c>
      <x:c r="H267" s="45" t="n">
        <x:v>2</x:v>
      </x:c>
      <x:c r="I267" s="47" t="n">
        <x:v>19.048</x:v>
      </x:c>
      <x:c r="J267" s="49" t="n">
        <x:v>0</x:v>
      </x:c>
      <x:c r="K267" s="51" t="n">
        <x:v>38.1</x:v>
      </x:c>
      <x:c r="L267" s="55" t="n">
        <x:v>0.07</x:v>
      </x:c>
    </x:row>
    <x:row r="268">
      <x:c r="B268" s="37" t="str">
        <x:v>Factura 92240926</x:v>
      </x:c>
      <x:c r="C268" s="38" t="str">
        <x:v>Comercial Eléctrica Canarias, S.A.</x:v>
      </x:c>
      <x:c r="D268" s="38" t="str">
        <x:v>31/05/2026</x:v>
      </x:c>
      <x:c r="E268" s="38" t="str">
        <x:v>Albarán 132.639/013 (20/05/2026)</x:v>
      </x:c>
      <x:c r="F268" s="38" t="str">
        <x:v>EFA-45976 SBR / 25459760</x:v>
      </x:c>
      <x:c r="G268" s="38" t="str">
        <x:v>TAPA RJ45 SIMPLE KEY.2M BL Q45</x:v>
      </x:c>
      <x:c r="H268" s="45" t="n">
        <x:v>6</x:v>
      </x:c>
      <x:c r="I268" s="47" t="n">
        <x:v>1.908</x:v>
      </x:c>
      <x:c r="J268" s="49" t="n">
        <x:v>0</x:v>
      </x:c>
      <x:c r="K268" s="51" t="n">
        <x:v>11.45</x:v>
      </x:c>
      <x:c r="L268" s="55" t="n">
        <x:v>0.07</x:v>
      </x:c>
    </x:row>
    <x:row r="269">
      <x:c r="B269" s="37" t="str">
        <x:v>Factura 92240926</x:v>
      </x:c>
      <x:c r="C269" s="38" t="str">
        <x:v>Comercial Eléctrica Canarias, S.A.</x:v>
      </x:c>
      <x:c r="D269" s="38" t="str">
        <x:v>31/05/2026</x:v>
      </x:c>
      <x:c r="E269" s="38" t="str">
        <x:v>Albarán 132.639/013 (20/05/2026)</x:v>
      </x:c>
      <x:c r="F269" s="38" t="str">
        <x:v>25451920</x:v>
      </x:c>
      <x:c r="G269" s="38" t="str">
        <x:v>SCHUKO DOBLE C/PROTEC.BLAN Q45 45192 SBR</x:v>
      </x:c>
      <x:c r="H269" s="45" t="n">
        <x:v>2</x:v>
      </x:c>
      <x:c r="I269" s="47" t="n">
        <x:v>5.718</x:v>
      </x:c>
      <x:c r="J269" s="49" t="n">
        <x:v>0</x:v>
      </x:c>
      <x:c r="K269" s="51" t="n">
        <x:v>11.44</x:v>
      </x:c>
      <x:c r="L269" s="55" t="n">
        <x:v>0.07</x:v>
      </x:c>
    </x:row>
    <x:row r="270">
      <x:c r="B270" s="37" t="str">
        <x:v>Factura 92240926</x:v>
      </x:c>
      <x:c r="C270" s="38" t="str">
        <x:v>Comercial Eléctrica Canarias, S.A.</x:v>
      </x:c>
      <x:c r="D270" s="38" t="str">
        <x:v>31/05/2026</x:v>
      </x:c>
      <x:c r="E270" s="38" t="str">
        <x:v>Albarán 132.639/013 (20/05/2026)</x:v>
      </x:c>
      <x:c r="F270" s="38" t="str">
        <x:v>EFA-82021 / 25820210</x:v>
      </x:c>
      <x:c r="G270" s="38" t="str">
        <x:v>CONECTOR RJ45 CAT.6A UTP</x:v>
      </x:c>
      <x:c r="H270" s="45" t="n">
        <x:v>6</x:v>
      </x:c>
      <x:c r="I270" s="47" t="n">
        <x:v>3.404</x:v>
      </x:c>
      <x:c r="J270" s="49" t="n">
        <x:v>0</x:v>
      </x:c>
      <x:c r="K270" s="51" t="n">
        <x:v>20.42</x:v>
      </x:c>
      <x:c r="L270" s="55" t="n">
        <x:v>0.07</x:v>
      </x:c>
    </x:row>
    <x:row r="271">
      <x:c r="B271" s="37" t="str">
        <x:v>Factura 92240926</x:v>
      </x:c>
      <x:c r="C271" s="38" t="str">
        <x:v>Comercial Eléctrica Canarias, S.A.</x:v>
      </x:c>
      <x:c r="D271" s="38" t="str">
        <x:v>31/05/2026</x:v>
      </x:c>
      <x:c r="E271" s="38" t="str">
        <x:v>Albarán 132.639/013 (20/05/2026)</x:v>
      </x:c>
      <x:c r="F271" s="38" t="str">
        <x:v>GEW-DX25732 / 9257329</x:v>
      </x:c>
      <x:c r="G271" s="38" t="str">
        <x:v>TUBO PVC RIG.GRIS RKB 4321 M32</x:v>
      </x:c>
      <x:c r="H271" s="45" t="n">
        <x:v>6</x:v>
      </x:c>
      <x:c r="I271" s="47" t="n">
        <x:v>1.193</x:v>
      </x:c>
      <x:c r="J271" s="49" t="n">
        <x:v>0</x:v>
      </x:c>
      <x:c r="K271" s="51" t="n">
        <x:v>7.16</x:v>
      </x:c>
      <x:c r="L271" s="55" t="n">
        <x:v>0.03</x:v>
      </x:c>
    </x:row>
    <x:row r="272">
      <x:c r="B272" s="37" t="str">
        <x:v>Factura 92240926</x:v>
      </x:c>
      <x:c r="C272" s="38" t="str">
        <x:v>Comercial Eléctrica Canarias, S.A.</x:v>
      </x:c>
      <x:c r="D272" s="38" t="str">
        <x:v>31/05/2026</x:v>
      </x:c>
      <x:c r="E272" s="38" t="str">
        <x:v>Albarán 132.639/013 (20/05/2026)</x:v>
      </x:c>
      <x:c r="F272" s="38" t="str">
        <x:v>219910 / 2219910</x:v>
      </x:c>
      <x:c r="G272" s="38" t="str">
        <x:v>CABLE UTP CAT6 LSZH TEL.219910</x:v>
      </x:c>
      <x:c r="H272" s="45" t="n">
        <x:v>610</x:v>
      </x:c>
      <x:c r="I272" s="47" t="n">
        <x:v>0.34</x:v>
      </x:c>
      <x:c r="J272" s="49" t="n">
        <x:v>0</x:v>
      </x:c>
      <x:c r="K272" s="51" t="n">
        <x:v>207.4</x:v>
      </x:c>
      <x:c r="L272" s="55" t="n">
        <x:v>0.07</x:v>
      </x:c>
    </x:row>
    <x:row r="273">
      <x:c r="B273" s="37" t="str">
        <x:v>Factura 92240926</x:v>
      </x:c>
      <x:c r="C273" s="38" t="str">
        <x:v>Comercial Eléctrica Canarias, S.A.</x:v>
      </x:c>
      <x:c r="D273" s="38" t="str">
        <x:v>31/05/2026</x:v>
      </x:c>
      <x:c r="E273" s="38" t="str">
        <x:v>Albarán 132.640/013 (20/05/2026)</x:v>
      </x:c>
      <x:c r="F273" s="38" t="str">
        <x:v>SME46 / 11426</x:v>
      </x:c>
      <x:c r="G273" s="38" t="str">
        <x:v>CONECTOR UTP CAT.6 MACHO(SME46</x:v>
      </x:c>
      <x:c r="H273" s="45" t="n">
        <x:v>10</x:v>
      </x:c>
      <x:c r="I273" s="47" t="n">
        <x:v>0.199</x:v>
      </x:c>
      <x:c r="J273" s="49" t="n">
        <x:v>0</x:v>
      </x:c>
      <x:c r="K273" s="51" t="n">
        <x:v>1.99</x:v>
      </x:c>
      <x:c r="L273" s="55" t="n">
        <x:v>0.07</x:v>
      </x:c>
    </x:row>
    <x:row r="274">
      <x:c r="B274" s="37" t="str">
        <x:v>Factura 92240926</x:v>
      </x:c>
      <x:c r="C274" s="38" t="str">
        <x:v>Comercial Eléctrica Canarias, S.A.</x:v>
      </x:c>
      <x:c r="D274" s="38" t="str">
        <x:v>31/05/2026</x:v>
      </x:c>
      <x:c r="E274" s="38" t="str">
        <x:v>Albarán 132.641/013 (20/05/2026)</x:v>
      </x:c>
      <x:c r="F274" s="38" t="str">
        <x:v>CABLE / 555172</x:v>
      </x:c>
      <x:c r="G274" s="38" t="str">
        <x:v>CABLE H07Z1-K CPR 1X6 NEGRO</x:v>
      </x:c>
      <x:c r="H274" s="45" t="n">
        <x:v>100</x:v>
      </x:c>
      <x:c r="I274" s="47" t="n">
        <x:v>0.95</x:v>
      </x:c>
      <x:c r="J274" s="49" t="n">
        <x:v>0</x:v>
      </x:c>
      <x:c r="K274" s="51" t="n">
        <x:v>95</x:v>
      </x:c>
      <x:c r="L274" s="55" t="n">
        <x:v>0.07</x:v>
      </x:c>
    </x:row>
    <x:row r="275">
      <x:c r="B275" s="37" t="str">
        <x:v>Factura 92240926</x:v>
      </x:c>
      <x:c r="C275" s="38" t="str">
        <x:v>Comercial Eléctrica Canarias, S.A.</x:v>
      </x:c>
      <x:c r="D275" s="38" t="str">
        <x:v>31/05/2026</x:v>
      </x:c>
      <x:c r="E275" s="38" t="str">
        <x:v>Albarán 132.641/013 (20/05/2026)</x:v>
      </x:c>
      <x:c r="F275" s="38" t="str">
        <x:v>CABLE / 555174</x:v>
      </x:c>
      <x:c r="G275" s="38" t="str">
        <x:v>CABLE H07Z1-K CPR 1X6 GRIS</x:v>
      </x:c>
      <x:c r="H275" s="45" t="n">
        <x:v>100</x:v>
      </x:c>
      <x:c r="I275" s="47" t="n">
        <x:v>0.95</x:v>
      </x:c>
      <x:c r="J275" s="49" t="n">
        <x:v>0</x:v>
      </x:c>
      <x:c r="K275" s="51" t="n">
        <x:v>95</x:v>
      </x:c>
      <x:c r="L275" s="55" t="n">
        <x:v>0.07</x:v>
      </x:c>
    </x:row>
    <x:row r="276">
      <x:c r="B276" s="37" t="str">
        <x:v>Factura 92240926</x:v>
      </x:c>
      <x:c r="C276" s="38" t="str">
        <x:v>Comercial Eléctrica Canarias, S.A.</x:v>
      </x:c>
      <x:c r="D276" s="38" t="str">
        <x:v>31/05/2026</x:v>
      </x:c>
      <x:c r="E276" s="38" t="str">
        <x:v>Albarán 132.641/013 (20/05/2026)</x:v>
      </x:c>
      <x:c r="F276" s="38" t="str">
        <x:v>GEW-DX40132 / 9401329</x:v>
      </x:c>
      <x:c r="G276" s="38" t="str">
        <x:v>CURVA RKS GRIS IP40 M32</x:v>
      </x:c>
      <x:c r="H276" s="45" t="n">
        <x:v>4</x:v>
      </x:c>
      <x:c r="I276" s="47" t="n">
        <x:v>1.728</x:v>
      </x:c>
      <x:c r="J276" s="49" t="n">
        <x:v>0</x:v>
      </x:c>
      <x:c r="K276" s="51" t="n">
        <x:v>6.91</x:v>
      </x:c>
      <x:c r="L276" s="55" t="n">
        <x:v>0.03</x:v>
      </x:c>
    </x:row>
    <x:row r="277">
      <x:c r="B277" s="37" t="str">
        <x:v>Factura 92240926</x:v>
      </x:c>
      <x:c r="C277" s="38" t="str">
        <x:v>Comercial Eléctrica Canarias, S.A.</x:v>
      </x:c>
      <x:c r="D277" s="38" t="str">
        <x:v>31/05/2026</x:v>
      </x:c>
      <x:c r="E277" s="38" t="str">
        <x:v>Albarán 132.664/013 (21/05/2026)</x:v>
      </x:c>
      <x:c r="F277" s="38" t="str">
        <x:v>GEW-DX25725 / 9257259</x:v>
      </x:c>
      <x:c r="G277" s="38" t="str">
        <x:v>TUBO PVC RIG.GRIS RKB 4321 M25</x:v>
      </x:c>
      <x:c r="H277" s="45" t="n">
        <x:v>12</x:v>
      </x:c>
      <x:c r="I277" s="47" t="n">
        <x:v>0.834</x:v>
      </x:c>
      <x:c r="J277" s="49" t="n">
        <x:v>0</x:v>
      </x:c>
      <x:c r="K277" s="51" t="n">
        <x:v>10.01</x:v>
      </x:c>
      <x:c r="L277" s="55" t="n">
        <x:v>0.03</x:v>
      </x:c>
    </x:row>
    <x:row r="278">
      <x:c r="B278" s="37" t="str">
        <x:v>Factura 92240926</x:v>
      </x:c>
      <x:c r="C278" s="38" t="str">
        <x:v>Comercial Eléctrica Canarias, S.A.</x:v>
      </x:c>
      <x:c r="D278" s="38" t="str">
        <x:v>31/05/2026</x:v>
      </x:c>
      <x:c r="E278" s="38" t="str">
        <x:v>Albarán 132.664/013 (21/05/2026)</x:v>
      </x:c>
      <x:c r="F278" s="38" t="str">
        <x:v>06122612R0 / 202026</x:v>
      </x:c>
      <x:c r="G278" s="38" t="str">
        <x:v>AUTOMATICO 1P+N 16A 6kA C</x:v>
      </x:c>
      <x:c r="H278" s="45" t="n">
        <x:v>1</x:v>
      </x:c>
      <x:c r="I278" s="47" t="n">
        <x:v>2.76</x:v>
      </x:c>
      <x:c r="J278" s="49" t="n">
        <x:v>0</x:v>
      </x:c>
      <x:c r="K278" s="51" t="n">
        <x:v>2.76</x:v>
      </x:c>
      <x:c r="L278" s="55" t="n">
        <x:v>0.07</x:v>
      </x:c>
    </x:row>
    <x:row r="279">
      <x:c r="B279" s="37" t="str">
        <x:v>Factura 92240926</x:v>
      </x:c>
      <x:c r="C279" s="38" t="str">
        <x:v>Comercial Eléctrica Canarias, S.A.</x:v>
      </x:c>
      <x:c r="D279" s="38" t="str">
        <x:v>31/05/2026</x:v>
      </x:c>
      <x:c r="E279" s="38" t="str">
        <x:v>Albarán 132.664/013 (21/05/2026)</x:v>
      </x:c>
      <x:c r="F279" s="38" t="str">
        <x:v>GEW-DX40125 / 9401259</x:v>
      </x:c>
      <x:c r="G279" s="38" t="str">
        <x:v>CURVA RKS GRIS IP40 M25</x:v>
      </x:c>
      <x:c r="H279" s="45" t="n">
        <x:v>2</x:v>
      </x:c>
      <x:c r="I279" s="47" t="n">
        <x:v>0.908</x:v>
      </x:c>
      <x:c r="J279" s="49" t="n">
        <x:v>0</x:v>
      </x:c>
      <x:c r="K279" s="51" t="n">
        <x:v>1.82</x:v>
      </x:c>
      <x:c r="L279" s="55" t="n">
        <x:v>0.03</x:v>
      </x:c>
    </x:row>
    <x:row r="280">
      <x:c r="B280" s="37" t="str">
        <x:v>Factura 92240926</x:v>
      </x:c>
      <x:c r="C280" s="38" t="str">
        <x:v>Comercial Eléctrica Canarias, S.A.</x:v>
      </x:c>
      <x:c r="D280" s="38" t="str">
        <x:v>31/05/2026</x:v>
      </x:c>
      <x:c r="E280" s="38" t="str">
        <x:v>Albarán 132.664/013 (21/05/2026)</x:v>
      </x:c>
      <x:c r="F280" s="38" t="str">
        <x:v>60115173 / 29822</x:v>
      </x:c>
      <x:c r="G280" s="38" t="str">
        <x:v>CABLE UTP CAT6 Dca UC400 AZUL</x:v>
      </x:c>
      <x:c r="H280" s="45" t="n">
        <x:v>305</x:v>
      </x:c>
      <x:c r="I280" s="47" t="n">
        <x:v>0.36</x:v>
      </x:c>
      <x:c r="J280" s="49" t="n">
        <x:v>0</x:v>
      </x:c>
      <x:c r="K280" s="51" t="n">
        <x:v>109.8</x:v>
      </x:c>
      <x:c r="L280" s="55" t="n">
        <x:v>0.07</x:v>
      </x:c>
    </x:row>
    <x:row r="281">
      <x:c r="B281" s="37" t="str">
        <x:v>Factura 92240926</x:v>
      </x:c>
      <x:c r="C281" s="38" t="str">
        <x:v>Comercial Eléctrica Canarias, S.A.</x:v>
      </x:c>
      <x:c r="D281" s="38" t="str">
        <x:v>31/05/2026</x:v>
      </x:c>
      <x:c r="E281" s="38" t="str">
        <x:v>Albarán 132.706/013 (25/05/2026)</x:v>
      </x:c>
      <x:c r="F281" s="38" t="str">
        <x:v>CABLE / 5551477</x:v>
      </x:c>
      <x:c r="G281" s="38" t="str">
        <x:v>CABLE RZ1-K CPR 3G2.5 ROLLO</x:v>
      </x:c>
      <x:c r="H281" s="45" t="n">
        <x:v>100</x:v>
      </x:c>
      <x:c r="I281" s="47" t="n">
        <x:v>1.476</x:v>
      </x:c>
      <x:c r="J281" s="49" t="n">
        <x:v>0</x:v>
      </x:c>
      <x:c r="K281" s="51" t="n">
        <x:v>147.6</x:v>
      </x:c>
      <x:c r="L281" s="55" t="n">
        <x:v>0.07</x:v>
      </x:c>
    </x:row>
    <x:row r="282">
      <x:c r="B282" s="37" t="str">
        <x:v>Factura 92240926</x:v>
      </x:c>
      <x:c r="C282" s="38" t="str">
        <x:v>Comercial Eléctrica Canarias, S.A.</x:v>
      </x:c>
      <x:c r="D282" s="38" t="str">
        <x:v>31/05/2026</x:v>
      </x:c>
      <x:c r="E282" s="38" t="str">
        <x:v>Albarán 132.706/013 (25/05/2026)</x:v>
      </x:c>
      <x:c r="F282" s="38" t="str">
        <x:v>EST-46015000 / 7402</x:v>
      </x:c>
      <x:c r="G282" s="38" t="str">
        <x:v>GEL INTRODUCIR CABLES 500cc</x:v>
      </x:c>
      <x:c r="H282" s="45" t="n">
        <x:v>1</x:v>
      </x:c>
      <x:c r="I282" s="47" t="n">
        <x:v>6.321</x:v>
      </x:c>
      <x:c r="J282" s="49" t="n">
        <x:v>0</x:v>
      </x:c>
      <x:c r="K282" s="51" t="n">
        <x:v>6.32</x:v>
      </x:c>
      <x:c r="L282" s="55" t="n">
        <x:v>0.03</x:v>
      </x:c>
    </x:row>
    <x:row r="283">
      <x:c r="B283" s="37" t="str">
        <x:v>Factura 92240926</x:v>
      </x:c>
      <x:c r="C283" s="38" t="str">
        <x:v>Comercial Eléctrica Canarias, S.A.</x:v>
      </x:c>
      <x:c r="D283" s="38" t="str">
        <x:v>31/05/2026</x:v>
      </x:c>
      <x:c r="E283" s="38" t="str">
        <x:v>Albarán 132.706/013 (25/05/2026)</x:v>
      </x:c>
      <x:c r="F283" s="38" t="str">
        <x:v>GEW-GW44024 / 944024</x:v>
      </x:c>
      <x:c r="G283" s="38" t="str">
        <x:v>CAJA DERIV.100x100x50 IP55</x:v>
      </x:c>
      <x:c r="H283" s="45" t="n">
        <x:v>3</x:v>
      </x:c>
      <x:c r="I283" s="47" t="n">
        <x:v>1.584</x:v>
      </x:c>
      <x:c r="J283" s="49" t="n">
        <x:v>0</x:v>
      </x:c>
      <x:c r="K283" s="51" t="n">
        <x:v>4.75</x:v>
      </x:c>
      <x:c r="L283" s="55" t="n">
        <x:v>0.07</x:v>
      </x:c>
    </x:row>
    <x:row r="284">
      <x:c r="B284" s="37" t="str">
        <x:v>Factura 92240926</x:v>
      </x:c>
      <x:c r="C284" s="38" t="str">
        <x:v>Comercial Eléctrica Canarias, S.A.</x:v>
      </x:c>
      <x:c r="D284" s="38" t="str">
        <x:v>31/05/2026</x:v>
      </x:c>
      <x:c r="E284" s="38" t="str">
        <x:v>Albarán 132.706/013 (25/05/2026)</x:v>
      </x:c>
      <x:c r="F284" s="38" t="str">
        <x:v>D1L0110823 / 202376</x:v>
      </x:c>
      <x:c r="G284" s="38" t="str">
        <x:v>DPN 1MOD. 1P+N 16A C 6KA</x:v>
      </x:c>
      <x:c r="H284" s="45" t="n">
        <x:v>4</x:v>
      </x:c>
      <x:c r="I284" s="47" t="n">
        <x:v>6.84</x:v>
      </x:c>
      <x:c r="J284" s="49" t="n">
        <x:v>0</x:v>
      </x:c>
      <x:c r="K284" s="51" t="n">
        <x:v>27.36</x:v>
      </x:c>
      <x:c r="L284" s="55" t="n">
        <x:v>0.07</x:v>
      </x:c>
    </x:row>
    <x:row r="285">
      <x:c r="B285" s="37" t="str">
        <x:v>Factura 92240926</x:v>
      </x:c>
      <x:c r="C285" s="38" t="str">
        <x:v>Comercial Eléctrica Canarias, S.A.</x:v>
      </x:c>
      <x:c r="D285" s="38" t="str">
        <x:v>31/05/2026</x:v>
      </x:c>
      <x:c r="E285" s="38" t="str">
        <x:v>Albarán 132.706/013 (25/05/2026)</x:v>
      </x:c>
      <x:c r="F285" s="38" t="str">
        <x:v>SCH-A9K17616CAN / 10017616</x:v>
      </x:c>
      <x:c r="G285" s="38" t="str">
        <x:v>AUTOMATICO 1P+N 16A 6kA C</x:v>
      </x:c>
      <x:c r="H285" s="45" t="n">
        <x:v>1</x:v>
      </x:c>
      <x:c r="I285" s="47" t="n">
        <x:v>4.513</x:v>
      </x:c>
      <x:c r="J285" s="49" t="n">
        <x:v>0</x:v>
      </x:c>
      <x:c r="K285" s="51" t="n">
        <x:v>4.51</x:v>
      </x:c>
      <x:c r="L285" s="55" t="n">
        <x:v>0.07</x:v>
      </x:c>
    </x:row>
    <x:row r="286">
      <x:c r="B286" s="37" t="str">
        <x:v>Factura 92240926</x:v>
      </x:c>
      <x:c r="C286" s="38" t="str">
        <x:v>Comercial Eléctrica Canarias, S.A.</x:v>
      </x:c>
      <x:c r="D286" s="38" t="str">
        <x:v>31/05/2026</x:v>
      </x:c>
      <x:c r="E286" s="38" t="str">
        <x:v>Albarán 132.815/013 (28/05/2026)</x:v>
      </x:c>
      <x:c r="F286" s="38" t="str">
        <x:v>ABK-1-95-611 / 19895424</x:v>
      </x:c>
      <x:c r="G286" s="38" t="str">
        <x:v>MOCHILA FATMAX 36x46x27</x:v>
      </x:c>
      <x:c r="H286" s="45" t="n">
        <x:v>1</x:v>
      </x:c>
      <x:c r="I286" s="47" t="n">
        <x:v>62</x:v>
      </x:c>
      <x:c r="J286" s="49" t="n">
        <x:v>0</x:v>
      </x:c>
      <x:c r="K286" s="51" t="n">
        <x:v>62</x:v>
      </x:c>
      <x:c r="L286" s="55" t="n">
        <x:v>0.03</x:v>
      </x:c>
    </x:row>
    <x:row r="287">
      <x:c r="B287" s="37" t="str">
        <x:v>Factura 91961426</x:v>
      </x:c>
      <x:c r="C287" s="38" t="str">
        <x:v>Comercial Eléctrica Canarias, S.A.</x:v>
      </x:c>
      <x:c r="D287" s="38" t="str">
        <x:v>15/05/2026</x:v>
      </x:c>
      <x:c r="E287" s="38" t="str">
        <x:v>Albarán 132.392/013 (08/05/2026)</x:v>
      </x:c>
      <x:c r="F287" s="38" t="str">
        <x:v>GEW-GW24213 / 924213</x:v>
      </x:c>
      <x:c r="G287" s="38" t="str">
        <x:v>PLACA COMPACT CIEGA 4M BLANCO</x:v>
      </x:c>
      <x:c r="H287" s="45" t="n">
        <x:v>-2</x:v>
      </x:c>
      <x:c r="I287" s="47" t="n">
        <x:v>5.009</x:v>
      </x:c>
      <x:c r="J287" s="49" t="n">
        <x:v>0</x:v>
      </x:c>
      <x:c r="K287" s="51" t="n">
        <x:v>-10.02</x:v>
      </x:c>
      <x:c r="L287" s="55" t="n">
        <x:v>0.07</x:v>
      </x:c>
    </x:row>
    <x:row r="288">
      <x:c r="B288" s="37" t="str">
        <x:v>Factura 91961426</x:v>
      </x:c>
      <x:c r="C288" s="38" t="str">
        <x:v>Comercial Eléctrica Canarias, S.A.</x:v>
      </x:c>
      <x:c r="D288" s="38" t="str">
        <x:v>15/05/2026</x:v>
      </x:c>
      <x:c r="E288" s="38" t="str">
        <x:v>Albarán 132.392/013 (08/05/2026)</x:v>
      </x:c>
      <x:c r="F288" s="38" t="str">
        <x:v>GEW-GW16122TB / 91612200</x:v>
      </x:c>
      <x:c r="G288" s="38" t="str">
        <x:v>PLACA ONE UNIV.2H BLANCO TB</x:v>
      </x:c>
      <x:c r="H288" s="45" t="n">
        <x:v>-11</x:v>
      </x:c>
      <x:c r="I288" s="47" t="n">
        <x:v>1.107</x:v>
      </x:c>
      <x:c r="J288" s="49" t="n">
        <x:v>0</x:v>
      </x:c>
      <x:c r="K288" s="51" t="n">
        <x:v>-12.18</x:v>
      </x:c>
      <x:c r="L288" s="55" t="n">
        <x:v>0.07</x:v>
      </x:c>
    </x:row>
    <x:row r="289">
      <x:c r="B289" s="37" t="str">
        <x:v>Factura 91961426</x:v>
      </x:c>
      <x:c r="C289" s="38" t="str">
        <x:v>Comercial Eléctrica Canarias, S.A.</x:v>
      </x:c>
      <x:c r="D289" s="38" t="str">
        <x:v>15/05/2026</x:v>
      </x:c>
      <x:c r="E289" s="38" t="str">
        <x:v>Albarán 132.392/013 (08/05/2026)</x:v>
      </x:c>
      <x:c r="F289" s="38" t="str">
        <x:v>GEW-GW16123TB / 91612300</x:v>
      </x:c>
      <x:c r="G289" s="38" t="str">
        <x:v>PLACA ONE UNI.2+2H H BLANCO TB</x:v>
      </x:c>
      <x:c r="H289" s="45" t="n">
        <x:v>-4</x:v>
      </x:c>
      <x:c r="I289" s="47" t="n">
        <x:v>1.946</x:v>
      </x:c>
      <x:c r="J289" s="49" t="n">
        <x:v>0</x:v>
      </x:c>
      <x:c r="K289" s="51" t="n">
        <x:v>-7.78</x:v>
      </x:c>
      <x:c r="L289" s="55" t="n">
        <x:v>0.07</x:v>
      </x:c>
    </x:row>
    <x:row r="290">
      <x:c r="B290" s="37" t="str">
        <x:v>Factura 91961426</x:v>
      </x:c>
      <x:c r="C290" s="38" t="str">
        <x:v>Comercial Eléctrica Canarias, S.A.</x:v>
      </x:c>
      <x:c r="D290" s="38" t="str">
        <x:v>15/05/2026</x:v>
      </x:c>
      <x:c r="E290" s="38" t="str">
        <x:v>Albarán 132.392/013 (08/05/2026)</x:v>
      </x:c>
      <x:c r="F290" s="38" t="str">
        <x:v>GEW-GW10195 / 910195</x:v>
      </x:c>
      <x:c r="G290" s="38" t="str">
        <x:v>TACO CIEGO BLANCO 1M</x:v>
      </x:c>
      <x:c r="H290" s="45" t="n">
        <x:v>-3</x:v>
      </x:c>
      <x:c r="I290" s="47" t="n">
        <x:v>0.701</x:v>
      </x:c>
      <x:c r="J290" s="49" t="n">
        <x:v>0</x:v>
      </x:c>
      <x:c r="K290" s="51" t="n">
        <x:v>-2.1</x:v>
      </x:c>
      <x:c r="L290" s="55" t="n">
        <x:v>0.07</x:v>
      </x:c>
    </x:row>
    <x:row r="291">
      <x:c r="B291" s="37" t="str">
        <x:v>Factura 91961426</x:v>
      </x:c>
      <x:c r="C291" s="38" t="str">
        <x:v>Comercial Eléctrica Canarias, S.A.</x:v>
      </x:c>
      <x:c r="D291" s="38" t="str">
        <x:v>15/05/2026</x:v>
      </x:c>
      <x:c r="E291" s="38" t="str">
        <x:v>Albarán 132.392/013 (08/05/2026)</x:v>
      </x:c>
      <x:c r="F291" s="38" t="str">
        <x:v>GEW-GW10071 / 910071</x:v>
      </x:c>
      <x:c r="G291" s="38" t="str">
        <x:v>CONMUTADOR BLANCO 2M 16A</x:v>
      </x:c>
      <x:c r="H291" s="45" t="n">
        <x:v>-1</x:v>
      </x:c>
      <x:c r="I291" s="47" t="n">
        <x:v>2.462</x:v>
      </x:c>
      <x:c r="J291" s="49" t="n">
        <x:v>0</x:v>
      </x:c>
      <x:c r="K291" s="51" t="n">
        <x:v>-2.46</x:v>
      </x:c>
      <x:c r="L291" s="55" t="n">
        <x:v>0.07</x:v>
      </x:c>
    </x:row>
    <x:row r="292">
      <x:c r="B292" s="37" t="str">
        <x:v>Factura 91961426</x:v>
      </x:c>
      <x:c r="C292" s="38" t="str">
        <x:v>Comercial Eléctrica Canarias, S.A.</x:v>
      </x:c>
      <x:c r="D292" s="38" t="str">
        <x:v>15/05/2026</x:v>
      </x:c>
      <x:c r="E292" s="38" t="str">
        <x:v>Albarán 132.392/013 (08/05/2026)</x:v>
      </x:c>
      <x:c r="F292" s="38" t="str">
        <x:v>GEW-GW10001 / 910001</x:v>
      </x:c>
      <x:c r="G292" s="38" t="str">
        <x:v>INTERRUPTOR BLANCO 1M 16</x:v>
      </x:c>
      <x:c r="H292" s="45" t="n">
        <x:v>-1</x:v>
      </x:c>
      <x:c r="I292" s="47" t="n">
        <x:v>2.26</x:v>
      </x:c>
      <x:c r="J292" s="49" t="n">
        <x:v>0</x:v>
      </x:c>
      <x:c r="K292" s="51" t="n">
        <x:v>-2.26</x:v>
      </x:c>
      <x:c r="L292" s="55" t="n">
        <x:v>0.07</x:v>
      </x:c>
    </x:row>
    <x:row r="293">
      <x:c r="B293" s="37" t="str">
        <x:v>Factura 91961426</x:v>
      </x:c>
      <x:c r="C293" s="38" t="str">
        <x:v>Comercial Eléctrica Canarias, S.A.</x:v>
      </x:c>
      <x:c r="D293" s="38" t="str">
        <x:v>15/05/2026</x:v>
      </x:c>
      <x:c r="E293" s="38" t="str">
        <x:v>Albarán 132.392/013 (08/05/2026)</x:v>
      </x:c>
      <x:c r="F293" s="38" t="str">
        <x:v>GEW-GW10051 / 910051</x:v>
      </x:c>
      <x:c r="G293" s="38" t="str">
        <x:v>CONMUTADOR BLANCO 1M 16A</x:v>
      </x:c>
      <x:c r="H293" s="45" t="n">
        <x:v>-1</x:v>
      </x:c>
      <x:c r="I293" s="47" t="n">
        <x:v>2.496</x:v>
      </x:c>
      <x:c r="J293" s="49" t="n">
        <x:v>0</x:v>
      </x:c>
      <x:c r="K293" s="51" t="n">
        <x:v>-2.5</x:v>
      </x:c>
      <x:c r="L293" s="55" t="n">
        <x:v>0.07</x:v>
      </x:c>
    </x:row>
    <x:row r="294">
      <x:c r="B294" s="37" t="str">
        <x:v>Factura 91961426</x:v>
      </x:c>
      <x:c r="C294" s="38" t="str">
        <x:v>Comercial Eléctrica Canarias, S.A.</x:v>
      </x:c>
      <x:c r="D294" s="38" t="str">
        <x:v>15/05/2026</x:v>
      </x:c>
      <x:c r="E294" s="38" t="str">
        <x:v>Albarán 132.392/013 (08/05/2026)</x:v>
      </x:c>
      <x:c r="F294" s="38" t="str">
        <x:v>GEW-GW16822 / 916822</x:v>
      </x:c>
      <x:c r="G294" s="38" t="str">
        <x:v>SOPORTE 2M TORN.CAJA CUADRA</x:v>
      </x:c>
      <x:c r="H294" s="45" t="n">
        <x:v>-5</x:v>
      </x:c>
      <x:c r="I294" s="47" t="n">
        <x:v>0.39</x:v>
      </x:c>
      <x:c r="J294" s="49" t="n">
        <x:v>0</x:v>
      </x:c>
      <x:c r="K294" s="51" t="n">
        <x:v>-1.95</x:v>
      </x:c>
      <x:c r="L294" s="55" t="n">
        <x:v>0.07</x:v>
      </x:c>
    </x:row>
    <x:row r="295">
      <x:c r="B295" s="37" t="str">
        <x:v>Factura 91961426</x:v>
      </x:c>
      <x:c r="C295" s="38" t="str">
        <x:v>Comercial Eléctrica Canarias, S.A.</x:v>
      </x:c>
      <x:c r="D295" s="38" t="str">
        <x:v>15/05/2026</x:v>
      </x:c>
      <x:c r="E295" s="38" t="str">
        <x:v>Albarán 132.392/013 (08/05/2026)</x:v>
      </x:c>
      <x:c r="F295" s="38" t="str">
        <x:v>06122614R0 / 202028</x:v>
      </x:c>
      <x:c r="G295" s="38" t="str">
        <x:v>AUTOMATICO 1P+N 25A 6kA C</x:v>
      </x:c>
      <x:c r="H295" s="45" t="n">
        <x:v>-1</x:v>
      </x:c>
      <x:c r="I295" s="47" t="n">
        <x:v>2.76</x:v>
      </x:c>
      <x:c r="J295" s="49" t="n">
        <x:v>0</x:v>
      </x:c>
      <x:c r="K295" s="51" t="n">
        <x:v>-2.76</x:v>
      </x:c>
      <x:c r="L295" s="55" t="n">
        <x:v>0.07</x:v>
      </x:c>
    </x:row>
    <x:row r="296">
      <x:c r="B296" s="37" t="str">
        <x:v>Factura 91961426</x:v>
      </x:c>
      <x:c r="C296" s="38" t="str">
        <x:v>Comercial Eléctrica Canarias, S.A.</x:v>
      </x:c>
      <x:c r="D296" s="38" t="str">
        <x:v>15/05/2026</x:v>
      </x:c>
      <x:c r="E296" s="38" t="str">
        <x:v>Albarán 132.392/013 (08/05/2026)</x:v>
      </x:c>
      <x:c r="F296" s="38" t="str">
        <x:v>GEW-GW16102TB / 91610200</x:v>
      </x:c>
      <x:c r="G296" s="38" t="str">
        <x:v>PLACA ONE 2H BLANCO LECHE TB</x:v>
      </x:c>
      <x:c r="H296" s="45" t="n">
        <x:v>-4</x:v>
      </x:c>
      <x:c r="I296" s="47" t="n">
        <x:v>1.393</x:v>
      </x:c>
      <x:c r="J296" s="49" t="n">
        <x:v>0</x:v>
      </x:c>
      <x:c r="K296" s="51" t="n">
        <x:v>-5.57</x:v>
      </x:c>
      <x:c r="L296" s="55" t="n">
        <x:v>0.07</x:v>
      </x:c>
    </x:row>
    <x:row r="297">
      <x:c r="B297" s="37" t="str">
        <x:v>Factura 92010826</x:v>
      </x:c>
      <x:c r="C297" s="38" t="str">
        <x:v>Comercial Eléctrica Canarias, S.A.</x:v>
      </x:c>
      <x:c r="D297" s="38" t="str">
        <x:v>15/05/2026</x:v>
      </x:c>
      <x:c r="E297" s="38" t="str">
        <x:v>Albarán 132.283/013 (04/05/2026)</x:v>
      </x:c>
      <x:c r="F297" s="38" t="str">
        <x:v>GEW-GW16822 / 916822</x:v>
      </x:c>
      <x:c r="G297" s="38" t="str">
        <x:v>SOPORTE 2M TORN.CAJA CUADRA</x:v>
      </x:c>
      <x:c r="H297" s="45" t="n">
        <x:v>26</x:v>
      </x:c>
      <x:c r="I297" s="47" t="n">
        <x:v>0.39</x:v>
      </x:c>
      <x:c r="J297" s="49" t="n">
        <x:v>0</x:v>
      </x:c>
      <x:c r="K297" s="51" t="n">
        <x:v>10.14</x:v>
      </x:c>
      <x:c r="L297" s="55" t="n">
        <x:v>0.07</x:v>
      </x:c>
    </x:row>
    <x:row r="298">
      <x:c r="B298" s="37" t="str">
        <x:v>Factura 92010826</x:v>
      </x:c>
      <x:c r="C298" s="38" t="str">
        <x:v>Comercial Eléctrica Canarias, S.A.</x:v>
      </x:c>
      <x:c r="D298" s="38" t="str">
        <x:v>15/05/2026</x:v>
      </x:c>
      <x:c r="E298" s="38" t="str">
        <x:v>Albarán 132.283/013 (04/05/2026)</x:v>
      </x:c>
      <x:c r="F298" s="38" t="str">
        <x:v>GEW-GW16123TB / 91612300</x:v>
      </x:c>
      <x:c r="G298" s="38" t="str">
        <x:v>PLACA ONE UNI.2+2H H BLANCO TB</x:v>
      </x:c>
      <x:c r="H298" s="45" t="n">
        <x:v>4</x:v>
      </x:c>
      <x:c r="I298" s="47" t="n">
        <x:v>1.946</x:v>
      </x:c>
      <x:c r="J298" s="49" t="n">
        <x:v>0</x:v>
      </x:c>
      <x:c r="K298" s="51" t="n">
        <x:v>7.78</x:v>
      </x:c>
      <x:c r="L298" s="55" t="n">
        <x:v>0.07</x:v>
      </x:c>
    </x:row>
    <x:row r="299">
      <x:c r="B299" s="37" t="str">
        <x:v>Factura 92010826</x:v>
      </x:c>
      <x:c r="C299" s="38" t="str">
        <x:v>Comercial Eléctrica Canarias, S.A.</x:v>
      </x:c>
      <x:c r="D299" s="38" t="str">
        <x:v>15/05/2026</x:v>
      </x:c>
      <x:c r="E299" s="38" t="str">
        <x:v>Albarán 132.283/013 (04/05/2026)</x:v>
      </x:c>
      <x:c r="F299" s="38" t="str">
        <x:v>GEW-GW16128TB / 91612800</x:v>
      </x:c>
      <x:c r="G299" s="38" t="str">
        <x:v>PLACA ONE U 2+2+2+2H BLANCO TB</x:v>
      </x:c>
      <x:c r="H299" s="45" t="n">
        <x:v>1</x:v>
      </x:c>
      <x:c r="I299" s="47" t="n">
        <x:v>4.323</x:v>
      </x:c>
      <x:c r="J299" s="49" t="n">
        <x:v>0</x:v>
      </x:c>
      <x:c r="K299" s="51" t="n">
        <x:v>4.32</x:v>
      </x:c>
      <x:c r="L299" s="55" t="n">
        <x:v>0.07</x:v>
      </x:c>
    </x:row>
    <x:row r="300">
      <x:c r="B300" s="37" t="str">
        <x:v>Factura 92010826</x:v>
      </x:c>
      <x:c r="C300" s="38" t="str">
        <x:v>Comercial Eléctrica Canarias, S.A.</x:v>
      </x:c>
      <x:c r="D300" s="38" t="str">
        <x:v>15/05/2026</x:v>
      </x:c>
      <x:c r="E300" s="38" t="str">
        <x:v>Albarán 132.283/013 (04/05/2026)</x:v>
      </x:c>
      <x:c r="F300" s="38" t="str">
        <x:v>GEW-GW16126TB / 91612600</x:v>
      </x:c>
      <x:c r="G300" s="38" t="str">
        <x:v>PLACA ONE U.2+2+2H H BLANCO TB</x:v>
      </x:c>
      <x:c r="H300" s="45" t="n">
        <x:v>3</x:v>
      </x:c>
      <x:c r="I300" s="47" t="n">
        <x:v>3.363</x:v>
      </x:c>
      <x:c r="J300" s="49" t="n">
        <x:v>0</x:v>
      </x:c>
      <x:c r="K300" s="51" t="n">
        <x:v>10.09</x:v>
      </x:c>
      <x:c r="L300" s="55" t="n">
        <x:v>0.07</x:v>
      </x:c>
    </x:row>
    <x:row r="301">
      <x:c r="B301" s="37" t="str">
        <x:v>Factura 92010826</x:v>
      </x:c>
      <x:c r="C301" s="38" t="str">
        <x:v>Comercial Eléctrica Canarias, S.A.</x:v>
      </x:c>
      <x:c r="D301" s="38" t="str">
        <x:v>15/05/2026</x:v>
      </x:c>
      <x:c r="E301" s="38" t="str">
        <x:v>Albarán 132.283/013 (04/05/2026)</x:v>
      </x:c>
      <x:c r="F301" s="38" t="str">
        <x:v>GEW-GW24213 / 924213</x:v>
      </x:c>
      <x:c r="G301" s="38" t="str">
        <x:v>PLACA COMPACT CIEGA 4M BLANCO</x:v>
      </x:c>
      <x:c r="H301" s="45" t="n">
        <x:v>3</x:v>
      </x:c>
      <x:c r="I301" s="47" t="n">
        <x:v>5.009</x:v>
      </x:c>
      <x:c r="J301" s="49" t="n">
        <x:v>0</x:v>
      </x:c>
      <x:c r="K301" s="51" t="n">
        <x:v>15.03</x:v>
      </x:c>
      <x:c r="L301" s="55" t="n">
        <x:v>0.07</x:v>
      </x:c>
    </x:row>
    <x:row r="302">
      <x:c r="B302" s="37" t="str">
        <x:v>Factura 92010826</x:v>
      </x:c>
      <x:c r="C302" s="38" t="str">
        <x:v>Comercial Eléctrica Canarias, S.A.</x:v>
      </x:c>
      <x:c r="D302" s="38" t="str">
        <x:v>15/05/2026</x:v>
      </x:c>
      <x:c r="E302" s="38" t="str">
        <x:v>Albarán 132.283/013 (04/05/2026)</x:v>
      </x:c>
      <x:c r="F302" s="38" t="str">
        <x:v>GEW-GW10198 / 910198</x:v>
      </x:c>
      <x:c r="G302" s="38" t="str">
        <x:v>TACO CIEGO BLANCO 2M</x:v>
      </x:c>
      <x:c r="H302" s="45" t="n">
        <x:v>3</x:v>
      </x:c>
      <x:c r="I302" s="47" t="n">
        <x:v>1.329</x:v>
      </x:c>
      <x:c r="J302" s="49" t="n">
        <x:v>0</x:v>
      </x:c>
      <x:c r="K302" s="51" t="n">
        <x:v>3.99</x:v>
      </x:c>
      <x:c r="L302" s="55" t="n">
        <x:v>0.07</x:v>
      </x:c>
    </x:row>
    <x:row r="303">
      <x:c r="B303" s="37" t="str">
        <x:v>Factura 92010826</x:v>
      </x:c>
      <x:c r="C303" s="38" t="str">
        <x:v>Comercial Eléctrica Canarias, S.A.</x:v>
      </x:c>
      <x:c r="D303" s="38" t="str">
        <x:v>15/05/2026</x:v>
      </x:c>
      <x:c r="E303" s="38" t="str">
        <x:v>Albarán 132.283/013 (04/05/2026)</x:v>
      </x:c>
      <x:c r="F303" s="38" t="str">
        <x:v>PLY-5261 / 2995</x:v>
      </x:c>
      <x:c r="G303" s="38" t="str">
        <x:v>CINTA AISLANTE N10 33x25 NEGR</x:v>
      </x:c>
      <x:c r="H303" s="45" t="n">
        <x:v>2</x:v>
      </x:c>
      <x:c r="I303" s="47" t="n">
        <x:v>2.18</x:v>
      </x:c>
      <x:c r="J303" s="49" t="n">
        <x:v>0</x:v>
      </x:c>
      <x:c r="K303" s="51" t="n">
        <x:v>4.36</x:v>
      </x:c>
      <x:c r="L303" s="55" t="n">
        <x:v>0.03</x:v>
      </x:c>
    </x:row>
    <x:row r="304">
      <x:c r="B304" s="37" t="str">
        <x:v>Factura 92010826</x:v>
      </x:c>
      <x:c r="C304" s="38" t="str">
        <x:v>Comercial Eléctrica Canarias, S.A.</x:v>
      </x:c>
      <x:c r="D304" s="38" t="str">
        <x:v>15/05/2026</x:v>
      </x:c>
      <x:c r="E304" s="38" t="str">
        <x:v>Albarán 132.283/013 (04/05/2026)</x:v>
      </x:c>
      <x:c r="F304" s="38" t="str">
        <x:v>GEW-GW10241 / 910241</x:v>
      </x:c>
      <x:c r="G304" s="38" t="str">
        <x:v>BASE SCHUKO BLANCO 2M 16 N.ESP</x:v>
      </x:c>
      <x:c r="H304" s="45" t="n">
        <x:v>18</x:v>
      </x:c>
      <x:c r="I304" s="47" t="n">
        <x:v>2.877</x:v>
      </x:c>
      <x:c r="J304" s="49" t="n">
        <x:v>0</x:v>
      </x:c>
      <x:c r="K304" s="51" t="n">
        <x:v>51.79</x:v>
      </x:c>
      <x:c r="L304" s="55" t="n">
        <x:v>0.07</x:v>
      </x:c>
    </x:row>
    <x:row r="305">
      <x:c r="B305" s="37" t="str">
        <x:v>Factura 92010826</x:v>
      </x:c>
      <x:c r="C305" s="38" t="str">
        <x:v>Comercial Eléctrica Canarias, S.A.</x:v>
      </x:c>
      <x:c r="D305" s="38" t="str">
        <x:v>15/05/2026</x:v>
      </x:c>
      <x:c r="E305" s="38" t="str">
        <x:v>Albarán 132.283/013 (04/05/2026)</x:v>
      </x:c>
      <x:c r="F305" s="38" t="str">
        <x:v>GEW-GW10386 / 910386</x:v>
      </x:c>
      <x:c r="G305" s="38" t="str">
        <x:v>SOPORTE PARA TOMA TV/R CH-WT</x:v>
      </x:c>
      <x:c r="H305" s="45" t="n">
        <x:v>1</x:v>
      </x:c>
      <x:c r="I305" s="47" t="n">
        <x:v>1.155</x:v>
      </x:c>
      <x:c r="J305" s="49" t="n">
        <x:v>0</x:v>
      </x:c>
      <x:c r="K305" s="51" t="n">
        <x:v>1.16</x:v>
      </x:c>
      <x:c r="L305" s="55" t="n">
        <x:v>0.07</x:v>
      </x:c>
    </x:row>
    <x:row r="306">
      <x:c r="B306" s="37" t="str">
        <x:v>Factura 92010826</x:v>
      </x:c>
      <x:c r="C306" s="38" t="str">
        <x:v>Comercial Eléctrica Canarias, S.A.</x:v>
      </x:c>
      <x:c r="D306" s="38" t="str">
        <x:v>15/05/2026</x:v>
      </x:c>
      <x:c r="E306" s="38" t="str">
        <x:v>Albarán 132.283/013 (04/05/2026)</x:v>
      </x:c>
      <x:c r="F306" s="38" t="str">
        <x:v>GEW-GW16803 / 916803</x:v>
      </x:c>
      <x:c r="G306" s="38" t="str">
        <x:v>SOPORTE 1 a 3M CAJA RECT</x:v>
      </x:c>
      <x:c r="H306" s="45" t="n">
        <x:v>4</x:v>
      </x:c>
      <x:c r="I306" s="47" t="n">
        <x:v>0.813</x:v>
      </x:c>
      <x:c r="J306" s="49" t="n">
        <x:v>0</x:v>
      </x:c>
      <x:c r="K306" s="51" t="n">
        <x:v>3.25</x:v>
      </x:c>
      <x:c r="L306" s="55" t="n">
        <x:v>0.07</x:v>
      </x:c>
    </x:row>
    <x:row r="307">
      <x:c r="B307" s="37" t="str">
        <x:v>Factura 92010826</x:v>
      </x:c>
      <x:c r="C307" s="38" t="str">
        <x:v>Comercial Eléctrica Canarias, S.A.</x:v>
      </x:c>
      <x:c r="D307" s="38" t="str">
        <x:v>15/05/2026</x:v>
      </x:c>
      <x:c r="E307" s="38" t="str">
        <x:v>Albarán 132.283/013 (04/05/2026)</x:v>
      </x:c>
      <x:c r="F307" s="38" t="str">
        <x:v>GEW-GW10195 / 910195</x:v>
      </x:c>
      <x:c r="G307" s="38" t="str">
        <x:v>TACO CIEGO BLANCO 1M</x:v>
      </x:c>
      <x:c r="H307" s="45" t="n">
        <x:v>2</x:v>
      </x:c>
      <x:c r="I307" s="47" t="n">
        <x:v>0.701</x:v>
      </x:c>
      <x:c r="J307" s="49" t="n">
        <x:v>0</x:v>
      </x:c>
      <x:c r="K307" s="51" t="n">
        <x:v>1.4</x:v>
      </x:c>
      <x:c r="L307" s="55" t="n">
        <x:v>0.07</x:v>
      </x:c>
    </x:row>
    <x:row r="308">
      <x:c r="B308" s="37" t="str">
        <x:v>Factura 92010826</x:v>
      </x:c>
      <x:c r="C308" s="38" t="str">
        <x:v>Comercial Eléctrica Canarias, S.A.</x:v>
      </x:c>
      <x:c r="D308" s="38" t="str">
        <x:v>15/05/2026</x:v>
      </x:c>
      <x:c r="E308" s="38" t="str">
        <x:v>Albarán 132.283/013 (04/05/2026)</x:v>
      </x:c>
      <x:c r="F308" s="38" t="str">
        <x:v>GEW-GW10001 / 910001</x:v>
      </x:c>
      <x:c r="G308" s="38" t="str">
        <x:v>INTERRUPTOR BLANCO 1M 16</x:v>
      </x:c>
      <x:c r="H308" s="45" t="n">
        <x:v>3</x:v>
      </x:c>
      <x:c r="I308" s="47" t="n">
        <x:v>2.26</x:v>
      </x:c>
      <x:c r="J308" s="49" t="n">
        <x:v>0</x:v>
      </x:c>
      <x:c r="K308" s="51" t="n">
        <x:v>6.78</x:v>
      </x:c>
      <x:c r="L308" s="55" t="n">
        <x:v>0.07</x:v>
      </x:c>
    </x:row>
    <x:row r="309">
      <x:c r="B309" s="37" t="str">
        <x:v>Factura 92010826</x:v>
      </x:c>
      <x:c r="C309" s="38" t="str">
        <x:v>Comercial Eléctrica Canarias, S.A.</x:v>
      </x:c>
      <x:c r="D309" s="38" t="str">
        <x:v>15/05/2026</x:v>
      </x:c>
      <x:c r="E309" s="38" t="str">
        <x:v>Albarán 132.283/013 (04/05/2026)</x:v>
      </x:c>
      <x:c r="F309" s="38" t="str">
        <x:v>GEW-GW10071 / 910071</x:v>
      </x:c>
      <x:c r="G309" s="38" t="str">
        <x:v>CONMUTADOR BLANCO 2M 16A</x:v>
      </x:c>
      <x:c r="H309" s="45" t="n">
        <x:v>1</x:v>
      </x:c>
      <x:c r="I309" s="47" t="n">
        <x:v>2.462</x:v>
      </x:c>
      <x:c r="J309" s="49" t="n">
        <x:v>0</x:v>
      </x:c>
      <x:c r="K309" s="51" t="n">
        <x:v>2.46</x:v>
      </x:c>
      <x:c r="L309" s="55" t="n">
        <x:v>0.07</x:v>
      </x:c>
    </x:row>
    <x:row r="310">
      <x:c r="B310" s="37" t="str">
        <x:v>Factura 92010826</x:v>
      </x:c>
      <x:c r="C310" s="38" t="str">
        <x:v>Comercial Eléctrica Canarias, S.A.</x:v>
      </x:c>
      <x:c r="D310" s="38" t="str">
        <x:v>15/05/2026</x:v>
      </x:c>
      <x:c r="E310" s="38" t="str">
        <x:v>Albarán 132.283/013 (04/05/2026)</x:v>
      </x:c>
      <x:c r="F310" s="38" t="str">
        <x:v>GEW-GW10051 / 910051</x:v>
      </x:c>
      <x:c r="G310" s="38" t="str">
        <x:v>CONMUTADOR BLANCO 1M 16A</x:v>
      </x:c>
      <x:c r="H310" s="45" t="n">
        <x:v>2</x:v>
      </x:c>
      <x:c r="I310" s="47" t="n">
        <x:v>2.496</x:v>
      </x:c>
      <x:c r="J310" s="49" t="n">
        <x:v>0</x:v>
      </x:c>
      <x:c r="K310" s="51" t="n">
        <x:v>4.99</x:v>
      </x:c>
      <x:c r="L310" s="55" t="n">
        <x:v>0.07</x:v>
      </x:c>
    </x:row>
    <x:row r="311">
      <x:c r="B311" s="37" t="str">
        <x:v>Factura 92010826</x:v>
      </x:c>
      <x:c r="C311" s="38" t="str">
        <x:v>Comercial Eléctrica Canarias, S.A.</x:v>
      </x:c>
      <x:c r="D311" s="38" t="str">
        <x:v>15/05/2026</x:v>
      </x:c>
      <x:c r="E311" s="38" t="str">
        <x:v>Albarán 132.283/013 (04/05/2026)</x:v>
      </x:c>
      <x:c r="F311" s="38" t="str">
        <x:v>GEW-GW16122TB / 91612200</x:v>
      </x:c>
      <x:c r="G311" s="38" t="str">
        <x:v>PLACA ONE UNIV.2H BLANCO TB</x:v>
      </x:c>
      <x:c r="H311" s="45" t="n">
        <x:v>18</x:v>
      </x:c>
      <x:c r="I311" s="47" t="n">
        <x:v>1.107</x:v>
      </x:c>
      <x:c r="J311" s="49" t="n">
        <x:v>0</x:v>
      </x:c>
      <x:c r="K311" s="51" t="n">
        <x:v>19.93</x:v>
      </x:c>
      <x:c r="L311" s="55" t="n">
        <x:v>0.07</x:v>
      </x:c>
    </x:row>
    <x:row r="312">
      <x:c r="B312" s="37" t="str">
        <x:v>Factura 92010826</x:v>
      </x:c>
      <x:c r="C312" s="38" t="str">
        <x:v>Comercial Eléctrica Canarias, S.A.</x:v>
      </x:c>
      <x:c r="D312" s="38" t="str">
        <x:v>15/05/2026</x:v>
      </x:c>
      <x:c r="E312" s="38" t="str">
        <x:v>Albarán 132.283/013 (04/05/2026)</x:v>
      </x:c>
      <x:c r="F312" s="38" t="str">
        <x:v>CABLE / 555175</x:v>
      </x:c>
      <x:c r="G312" s="38" t="str">
        <x:v>CABLE H07Z1-K CPR 1X6 AZUL</x:v>
      </x:c>
      <x:c r="H312" s="45" t="n">
        <x:v>100</x:v>
      </x:c>
      <x:c r="I312" s="47" t="n">
        <x:v>0.827</x:v>
      </x:c>
      <x:c r="J312" s="49" t="n">
        <x:v>0</x:v>
      </x:c>
      <x:c r="K312" s="51" t="n">
        <x:v>82.7</x:v>
      </x:c>
      <x:c r="L312" s="55" t="n">
        <x:v>0.07</x:v>
      </x:c>
    </x:row>
    <x:row r="313">
      <x:c r="B313" s="37" t="str">
        <x:v>Factura 92010826</x:v>
      </x:c>
      <x:c r="C313" s="38" t="str">
        <x:v>Comercial Eléctrica Canarias, S.A.</x:v>
      </x:c>
      <x:c r="D313" s="38" t="str">
        <x:v>15/05/2026</x:v>
      </x:c>
      <x:c r="E313" s="38" t="str">
        <x:v>Albarán 132.283/013 (04/05/2026)</x:v>
      </x:c>
      <x:c r="F313" s="38" t="str">
        <x:v>CABLE / 555176</x:v>
      </x:c>
      <x:c r="G313" s="38" t="str">
        <x:v>CABLE H07Z1-K CPR 1X6 AM/VDE</x:v>
      </x:c>
      <x:c r="H313" s="45" t="n">
        <x:v>100</x:v>
      </x:c>
      <x:c r="I313" s="47" t="n">
        <x:v>0.827</x:v>
      </x:c>
      <x:c r="J313" s="49" t="n">
        <x:v>0</x:v>
      </x:c>
      <x:c r="K313" s="51" t="n">
        <x:v>82.7</x:v>
      </x:c>
      <x:c r="L313" s="55" t="n">
        <x:v>0.07</x:v>
      </x:c>
    </x:row>
    <x:row r="314">
      <x:c r="B314" s="37" t="str">
        <x:v>Factura 92010826</x:v>
      </x:c>
      <x:c r="C314" s="38" t="str">
        <x:v>Comercial Eléctrica Canarias, S.A.</x:v>
      </x:c>
      <x:c r="D314" s="38" t="str">
        <x:v>15/05/2026</x:v>
      </x:c>
      <x:c r="E314" s="38" t="str">
        <x:v>Albarán 132.283/013 (04/05/2026)</x:v>
      </x:c>
      <x:c r="F314" s="38" t="str">
        <x:v>EBX-10220304 / 12121</x:v>
      </x:c>
      <x:c r="G314" s="38" t="str">
        <x:v>BORNA ACOPLABLES S-2535</x:v>
      </x:c>
      <x:c r="H314" s="45" t="n">
        <x:v>1</x:v>
      </x:c>
      <x:c r="I314" s="47" t="n">
        <x:v>3.387</x:v>
      </x:c>
      <x:c r="J314" s="49" t="n">
        <x:v>0</x:v>
      </x:c>
      <x:c r="K314" s="51" t="n">
        <x:v>3.39</x:v>
      </x:c>
      <x:c r="L314" s="55" t="n">
        <x:v>0.07</x:v>
      </x:c>
    </x:row>
    <x:row r="315">
      <x:c r="B315" s="37" t="str">
        <x:v>Factura 92010826</x:v>
      </x:c>
      <x:c r="C315" s="38" t="str">
        <x:v>Comercial Eléctrica Canarias, S.A.</x:v>
      </x:c>
      <x:c r="D315" s="38" t="str">
        <x:v>15/05/2026</x:v>
      </x:c>
      <x:c r="E315" s="38" t="str">
        <x:v>Albarán 132.283/013 (04/05/2026)</x:v>
      </x:c>
      <x:c r="F315" s="38" t="str">
        <x:v>RBL-LEDPANEL12 / 592193</x:v>
      </x:c>
      <x:c r="G315" s="38" t="str">
        <x:v>DOWNLIGHT LED 12W 6500K BLANCO</x:v>
      </x:c>
      <x:c r="H315" s="45" t="n">
        <x:v>6</x:v>
      </x:c>
      <x:c r="I315" s="47" t="n">
        <x:v>5.853</x:v>
      </x:c>
      <x:c r="J315" s="49" t="n">
        <x:v>0</x:v>
      </x:c>
      <x:c r="K315" s="51" t="n">
        <x:v>35.6</x:v>
      </x:c>
      <x:c r="L315" s="55" t="n">
        <x:v>0.07</x:v>
      </x:c>
    </x:row>
    <x:row r="316">
      <x:c r="B316" s="37" t="str">
        <x:v>Factura 92010826</x:v>
      </x:c>
      <x:c r="C316" s="38" t="str">
        <x:v>Comercial Eléctrica Canarias, S.A.</x:v>
      </x:c>
      <x:c r="D316" s="38" t="str">
        <x:v>15/05/2026</x:v>
      </x:c>
      <x:c r="E316" s="38" t="str">
        <x:v>Albarán 132.283/013 (04/05/2026)</x:v>
      </x:c>
      <x:c r="F316" s="38" t="str">
        <x:v>SOL-6827K / 8682700</x:v>
      </x:c>
      <x:c r="G316" s="38" t="str">
        <x:v>BASE BIP.T/T 25A 250V EMPO.BLA</x:v>
      </x:c>
      <x:c r="H316" s="45" t="n">
        <x:v>1</x:v>
      </x:c>
      <x:c r="I316" s="47" t="n">
        <x:v>4.85</x:v>
      </x:c>
      <x:c r="J316" s="49" t="n">
        <x:v>0</x:v>
      </x:c>
      <x:c r="K316" s="51" t="n">
        <x:v>4.85</x:v>
      </x:c>
      <x:c r="L316" s="55" t="n">
        <x:v>0.07</x:v>
      </x:c>
    </x:row>
    <x:row r="317">
      <x:c r="B317" s="37" t="str">
        <x:v>Factura 92010826</x:v>
      </x:c>
      <x:c r="C317" s="38" t="str">
        <x:v>Comercial Eléctrica Canarias, S.A.</x:v>
      </x:c>
      <x:c r="D317" s="38" t="str">
        <x:v>15/05/2026</x:v>
      </x:c>
      <x:c r="E317" s="38" t="str">
        <x:v>Albarán 132.283/013 (04/05/2026)</x:v>
      </x:c>
      <x:c r="F317" s="38" t="str">
        <x:v>SOL-6828K / 8682800</x:v>
      </x:c>
      <x:c r="G317" s="38" t="str">
        <x:v>CLAV.BIP.T/T 25A 250V COCINA</x:v>
      </x:c>
      <x:c r="H317" s="45" t="n">
        <x:v>1</x:v>
      </x:c>
      <x:c r="I317" s="47" t="n">
        <x:v>5.7</x:v>
      </x:c>
      <x:c r="J317" s="49" t="n">
        <x:v>0</x:v>
      </x:c>
      <x:c r="K317" s="51" t="n">
        <x:v>5.7</x:v>
      </x:c>
      <x:c r="L317" s="55" t="n">
        <x:v>0.07</x:v>
      </x:c>
    </x:row>
    <x:row r="318">
      <x:c r="B318" s="37" t="str">
        <x:v>Factura 92010826</x:v>
      </x:c>
      <x:c r="C318" s="38" t="str">
        <x:v>Comercial Eléctrica Canarias, S.A.</x:v>
      </x:c>
      <x:c r="D318" s="38" t="str">
        <x:v>15/05/2026</x:v>
      </x:c>
      <x:c r="E318" s="38" t="str">
        <x:v>Albarán 132.283/013 (04/05/2026)</x:v>
      </x:c>
      <x:c r="F318" s="38" t="str">
        <x:v>06122612R0 / 202026</x:v>
      </x:c>
      <x:c r="G318" s="38" t="str">
        <x:v>AUTOMATICO 1P+N 16A 6kA C</x:v>
      </x:c>
      <x:c r="H318" s="45" t="n">
        <x:v>1</x:v>
      </x:c>
      <x:c r="I318" s="47" t="n">
        <x:v>2.76</x:v>
      </x:c>
      <x:c r="J318" s="49" t="n">
        <x:v>0</x:v>
      </x:c>
      <x:c r="K318" s="51" t="n">
        <x:v>2.76</x:v>
      </x:c>
      <x:c r="L318" s="55" t="n">
        <x:v>0.07</x:v>
      </x:c>
    </x:row>
    <x:row r="319">
      <x:c r="B319" s="37" t="str">
        <x:v>Factura 92010826</x:v>
      </x:c>
      <x:c r="C319" s="38" t="str">
        <x:v>Comercial Eléctrica Canarias, S.A.</x:v>
      </x:c>
      <x:c r="D319" s="38" t="str">
        <x:v>15/05/2026</x:v>
      </x:c>
      <x:c r="E319" s="38" t="str">
        <x:v>Albarán 132.283/013 (04/05/2026)</x:v>
      </x:c>
      <x:c r="F319" s="38" t="str">
        <x:v>06122614R0 / 202028</x:v>
      </x:c>
      <x:c r="G319" s="38" t="str">
        <x:v>AUTOMATICO 1P+N 25A 6kA C</x:v>
      </x:c>
      <x:c r="H319" s="45" t="n">
        <x:v>1</x:v>
      </x:c>
      <x:c r="I319" s="47" t="n">
        <x:v>2.76</x:v>
      </x:c>
      <x:c r="J319" s="49" t="n">
        <x:v>0</x:v>
      </x:c>
      <x:c r="K319" s="51" t="n">
        <x:v>2.76</x:v>
      </x:c>
      <x:c r="L319" s="55" t="n">
        <x:v>0.07</x:v>
      </x:c>
    </x:row>
    <x:row r="320">
      <x:c r="B320" s="37" t="str">
        <x:v>Factura 92010826</x:v>
      </x:c>
      <x:c r="C320" s="38" t="str">
        <x:v>Comercial Eléctrica Canarias, S.A.</x:v>
      </x:c>
      <x:c r="D320" s="38" t="str">
        <x:v>15/05/2026</x:v>
      </x:c>
      <x:c r="E320" s="38" t="str">
        <x:v>Albarán 132.284/013 (04/05/2026)</x:v>
      </x:c>
      <x:c r="F320" s="38" t="str">
        <x:v>GEW-GW16102TB / 91610200</x:v>
      </x:c>
      <x:c r="G320" s="38" t="str">
        <x:v>PLACA ONE 2H BLANCO LECHE TB</x:v>
      </x:c>
      <x:c r="H320" s="45" t="n">
        <x:v>1</x:v>
      </x:c>
      <x:c r="I320" s="47" t="n">
        <x:v>1.393</x:v>
      </x:c>
      <x:c r="J320" s="49" t="n">
        <x:v>0</x:v>
      </x:c>
      <x:c r="K320" s="51" t="n">
        <x:v>1.39</x:v>
      </x:c>
      <x:c r="L320" s="55" t="n">
        <x:v>0.07</x:v>
      </x:c>
    </x:row>
    <x:row r="321">
      <x:c r="B321" s="37" t="str">
        <x:v>Factura 92010826</x:v>
      </x:c>
      <x:c r="C321" s="38" t="str">
        <x:v>Comercial Eléctrica Canarias, S.A.</x:v>
      </x:c>
      <x:c r="D321" s="38" t="str">
        <x:v>15/05/2026</x:v>
      </x:c>
      <x:c r="E321" s="38" t="str">
        <x:v>Albarán 132.284/013 (04/05/2026)</x:v>
      </x:c>
      <x:c r="F321" s="38" t="str">
        <x:v>GEW-GW16103TB / 91610300</x:v>
      </x:c>
      <x:c r="G321" s="38" t="str">
        <x:v>PLACA ONE 3H BLANCO LECHE TB</x:v>
      </x:c>
      <x:c r="H321" s="45" t="n">
        <x:v>2</x:v>
      </x:c>
      <x:c r="I321" s="47" t="n">
        <x:v>1.5</x:v>
      </x:c>
      <x:c r="J321" s="49" t="n">
        <x:v>0</x:v>
      </x:c>
      <x:c r="K321" s="51" t="n">
        <x:v>3</x:v>
      </x:c>
      <x:c r="L321" s="55" t="n">
        <x:v>0.07</x:v>
      </x:c>
    </x:row>
    <x:row r="322">
      <x:c r="B322" s="37" t="str">
        <x:v>Factura 92010826</x:v>
      </x:c>
      <x:c r="C322" s="38" t="str">
        <x:v>Comercial Eléctrica Canarias, S.A.</x:v>
      </x:c>
      <x:c r="D322" s="38" t="str">
        <x:v>15/05/2026</x:v>
      </x:c>
      <x:c r="E322" s="38" t="str">
        <x:v>Albarán 132.284/013 (04/05/2026)</x:v>
      </x:c>
      <x:c r="F322" s="38" t="str">
        <x:v>GEW-GW10241 / 910241</x:v>
      </x:c>
      <x:c r="G322" s="38" t="str">
        <x:v>BASE SCHUKO BLANCO 2M 16 N.ESP</x:v>
      </x:c>
      <x:c r="H322" s="45" t="n">
        <x:v>1</x:v>
      </x:c>
      <x:c r="I322" s="47" t="n">
        <x:v>2.877</x:v>
      </x:c>
      <x:c r="J322" s="49" t="n">
        <x:v>0</x:v>
      </x:c>
      <x:c r="K322" s="51" t="n">
        <x:v>2.88</x:v>
      </x:c>
      <x:c r="L322" s="55" t="n">
        <x:v>0.07</x:v>
      </x:c>
    </x:row>
    <x:row r="323">
      <x:c r="B323" s="37" t="str">
        <x:v>Factura 92010826</x:v>
      </x:c>
      <x:c r="C323" s="38" t="str">
        <x:v>Comercial Eléctrica Canarias, S.A.</x:v>
      </x:c>
      <x:c r="D323" s="38" t="str">
        <x:v>15/05/2026</x:v>
      </x:c>
      <x:c r="E323" s="38" t="str">
        <x:v>Albarán 132.284/013 (04/05/2026)</x:v>
      </x:c>
      <x:c r="F323" s="38" t="str">
        <x:v>GEW-GW10071 / 910071</x:v>
      </x:c>
      <x:c r="G323" s="38" t="str">
        <x:v>CONMUTADOR BLANCO 2M 16A</x:v>
      </x:c>
      <x:c r="H323" s="45" t="n">
        <x:v>1</x:v>
      </x:c>
      <x:c r="I323" s="47" t="n">
        <x:v>2.462</x:v>
      </x:c>
      <x:c r="J323" s="49" t="n">
        <x:v>0</x:v>
      </x:c>
      <x:c r="K323" s="51" t="n">
        <x:v>2.46</x:v>
      </x:c>
      <x:c r="L323" s="55" t="n">
        <x:v>0.07</x:v>
      </x:c>
    </x:row>
    <x:row r="324">
      <x:c r="B324" s="37" t="str">
        <x:v>Factura 92010826</x:v>
      </x:c>
      <x:c r="C324" s="38" t="str">
        <x:v>Comercial Eléctrica Canarias, S.A.</x:v>
      </x:c>
      <x:c r="D324" s="38" t="str">
        <x:v>15/05/2026</x:v>
      </x:c>
      <x:c r="E324" s="38" t="str">
        <x:v>Albarán 132.284/013 (04/05/2026)</x:v>
      </x:c>
      <x:c r="F324" s="38" t="str">
        <x:v>GEW-GW10195 / 910195</x:v>
      </x:c>
      <x:c r="G324" s="38" t="str">
        <x:v>TACO CIEGO BLANCO 1M</x:v>
      </x:c>
      <x:c r="H324" s="45" t="n">
        <x:v>1</x:v>
      </x:c>
      <x:c r="I324" s="47" t="n">
        <x:v>0.701</x:v>
      </x:c>
      <x:c r="J324" s="49" t="n">
        <x:v>0</x:v>
      </x:c>
      <x:c r="K324" s="51" t="n">
        <x:v>0.7</x:v>
      </x:c>
      <x:c r="L324" s="55" t="n">
        <x:v>0.07</x:v>
      </x:c>
    </x:row>
    <x:row r="325">
      <x:c r="B325" s="37" t="str">
        <x:v>Factura 92010826</x:v>
      </x:c>
      <x:c r="C325" s="38" t="str">
        <x:v>Comercial Eléctrica Canarias, S.A.</x:v>
      </x:c>
      <x:c r="D325" s="38" t="str">
        <x:v>15/05/2026</x:v>
      </x:c>
      <x:c r="E325" s="38" t="str">
        <x:v>Albarán 132.302/013 (04/05/2026)</x:v>
      </x:c>
      <x:c r="F325" s="38" t="str">
        <x:v>GEW-GW16803 / 916803</x:v>
      </x:c>
      <x:c r="G325" s="38" t="str">
        <x:v>SOPORTE 1 a 3M CAJA RECT</x:v>
      </x:c>
      <x:c r="H325" s="45" t="n">
        <x:v>7</x:v>
      </x:c>
      <x:c r="I325" s="47" t="n">
        <x:v>0.813</x:v>
      </x:c>
      <x:c r="J325" s="49" t="n">
        <x:v>0</x:v>
      </x:c>
      <x:c r="K325" s="51" t="n">
        <x:v>5.69</x:v>
      </x:c>
      <x:c r="L325" s="55" t="n">
        <x:v>0.07</x:v>
      </x:c>
    </x:row>
    <x:row r="326">
      <x:c r="B326" s="37" t="str">
        <x:v>Factura 92010826</x:v>
      </x:c>
      <x:c r="C326" s="38" t="str">
        <x:v>Comercial Eléctrica Canarias, S.A.</x:v>
      </x:c>
      <x:c r="D326" s="38" t="str">
        <x:v>15/05/2026</x:v>
      </x:c>
      <x:c r="E326" s="38" t="str">
        <x:v>Albarán 132.302/013 (04/05/2026)</x:v>
      </x:c>
      <x:c r="F326" s="38" t="str">
        <x:v>GEW-GW16102TB / 91610200</x:v>
      </x:c>
      <x:c r="G326" s="38" t="str">
        <x:v>PLACA ONE 2H BLANCO LECHE TB</x:v>
      </x:c>
      <x:c r="H326" s="45" t="n">
        <x:v>6</x:v>
      </x:c>
      <x:c r="I326" s="47" t="n">
        <x:v>1.393</x:v>
      </x:c>
      <x:c r="J326" s="49" t="n">
        <x:v>0</x:v>
      </x:c>
      <x:c r="K326" s="51" t="n">
        <x:v>8.36</x:v>
      </x:c>
      <x:c r="L326" s="55" t="n">
        <x:v>0.07</x:v>
      </x:c>
    </x:row>
    <x:row r="327">
      <x:c r="B327" s="37" t="str">
        <x:v>Factura 92010826</x:v>
      </x:c>
      <x:c r="C327" s="38" t="str">
        <x:v>Comercial Eléctrica Canarias, S.A.</x:v>
      </x:c>
      <x:c r="D327" s="38" t="str">
        <x:v>15/05/2026</x:v>
      </x:c>
      <x:c r="E327" s="38" t="str">
        <x:v>Albarán 132.302/013 (04/05/2026)</x:v>
      </x:c>
      <x:c r="F327" s="38" t="str">
        <x:v>GEW-GW16103TB / 91610300</x:v>
      </x:c>
      <x:c r="G327" s="38" t="str">
        <x:v>PLACA ONE 3H BLANCO LECHE TB</x:v>
      </x:c>
      <x:c r="H327" s="45" t="n">
        <x:v>1</x:v>
      </x:c>
      <x:c r="I327" s="47" t="n">
        <x:v>1.5</x:v>
      </x:c>
      <x:c r="J327" s="49" t="n">
        <x:v>0</x:v>
      </x:c>
      <x:c r="K327" s="51" t="n">
        <x:v>1.5</x:v>
      </x:c>
      <x:c r="L327" s="55" t="n">
        <x:v>0.07</x:v>
      </x:c>
    </x:row>
    <x:row r="328">
      <x:c r="B328" s="37" t="str">
        <x:v>Factura 92010826</x:v>
      </x:c>
      <x:c r="C328" s="38" t="str">
        <x:v>Comercial Eléctrica Canarias, S.A.</x:v>
      </x:c>
      <x:c r="D328" s="38" t="str">
        <x:v>15/05/2026</x:v>
      </x:c>
      <x:c r="E328" s="38" t="str">
        <x:v>Albarán 132.302/013 (04/05/2026)</x:v>
      </x:c>
      <x:c r="F328" s="38" t="str">
        <x:v>GEW-GW16126TB / 91612600</x:v>
      </x:c>
      <x:c r="G328" s="38" t="str">
        <x:v>PLACA ONE U.2+2+2H H BLANCO TB</x:v>
      </x:c>
      <x:c r="H328" s="45" t="n">
        <x:v>1</x:v>
      </x:c>
      <x:c r="I328" s="47" t="n">
        <x:v>3.363</x:v>
      </x:c>
      <x:c r="J328" s="49" t="n">
        <x:v>0</x:v>
      </x:c>
      <x:c r="K328" s="51" t="n">
        <x:v>3.36</x:v>
      </x:c>
      <x:c r="L328" s="55" t="n">
        <x:v>0.07</x:v>
      </x:c>
    </x:row>
    <x:row r="329">
      <x:c r="B329" s="37" t="str">
        <x:v>Factura 92010826</x:v>
      </x:c>
      <x:c r="C329" s="38" t="str">
        <x:v>Comercial Eléctrica Canarias, S.A.</x:v>
      </x:c>
      <x:c r="D329" s="38" t="str">
        <x:v>15/05/2026</x:v>
      </x:c>
      <x:c r="E329" s="38" t="str">
        <x:v>Albarán 132.302/013 (04/05/2026)</x:v>
      </x:c>
      <x:c r="F329" s="38" t="str">
        <x:v>CABLE / 89555165</x:v>
      </x:c>
      <x:c r="G329" s="38" t="str">
        <x:v>CABLE 07Z1K CPR 1X2.5 AZ 100MT</x:v>
      </x:c>
      <x:c r="H329" s="45" t="n">
        <x:v>100</x:v>
      </x:c>
      <x:c r="I329" s="47" t="n">
        <x:v>0.35</x:v>
      </x:c>
      <x:c r="J329" s="49" t="n">
        <x:v>0</x:v>
      </x:c>
      <x:c r="K329" s="51" t="n">
        <x:v>35</x:v>
      </x:c>
      <x:c r="L329" s="55" t="n">
        <x:v>0.07</x:v>
      </x:c>
    </x:row>
    <x:row r="330">
      <x:c r="B330" s="37" t="str">
        <x:v>Factura 92010826</x:v>
      </x:c>
      <x:c r="C330" s="38" t="str">
        <x:v>Comercial Eléctrica Canarias, S.A.</x:v>
      </x:c>
      <x:c r="D330" s="38" t="str">
        <x:v>15/05/2026</x:v>
      </x:c>
      <x:c r="E330" s="38" t="str">
        <x:v>Albarán 132.302/013 (04/05/2026)</x:v>
      </x:c>
      <x:c r="F330" s="38" t="str">
        <x:v>CABLE / 89555166</x:v>
      </x:c>
      <x:c r="G330" s="38" t="str">
        <x:v>CABLE 07Z1K CPR 1X2.5 A/V100MT</x:v>
      </x:c>
      <x:c r="H330" s="45" t="n">
        <x:v>100</x:v>
      </x:c>
      <x:c r="I330" s="47" t="n">
        <x:v>0.35</x:v>
      </x:c>
      <x:c r="J330" s="49" t="n">
        <x:v>0</x:v>
      </x:c>
      <x:c r="K330" s="51" t="n">
        <x:v>35</x:v>
      </x:c>
      <x:c r="L330" s="55" t="n">
        <x:v>0.07</x:v>
      </x:c>
    </x:row>
    <x:row r="331">
      <x:c r="B331" s="37" t="str">
        <x:v>Factura 92010826</x:v>
      </x:c>
      <x:c r="C331" s="38" t="str">
        <x:v>Comercial Eléctrica Canarias, S.A.</x:v>
      </x:c>
      <x:c r="D331" s="38" t="str">
        <x:v>15/05/2026</x:v>
      </x:c>
      <x:c r="E331" s="38" t="str">
        <x:v>Albarán 132.302/013 (04/05/2026)</x:v>
      </x:c>
      <x:c r="F331" s="38" t="str">
        <x:v>CABLE / 89555162</x:v>
      </x:c>
      <x:c r="G331" s="38" t="str">
        <x:v>CABLE 07Z1K CPR 1X2.5 NG 100MT</x:v>
      </x:c>
      <x:c r="H331" s="45" t="n">
        <x:v>100</x:v>
      </x:c>
      <x:c r="I331" s="47" t="n">
        <x:v>0.35</x:v>
      </x:c>
      <x:c r="J331" s="49" t="n">
        <x:v>0</x:v>
      </x:c>
      <x:c r="K331" s="51" t="n">
        <x:v>35</x:v>
      </x:c>
      <x:c r="L331" s="55" t="n">
        <x:v>0.07</x:v>
      </x:c>
    </x:row>
    <x:row r="332">
      <x:c r="B332" s="37" t="str">
        <x:v>Factura 92010826</x:v>
      </x:c>
      <x:c r="C332" s="38" t="str">
        <x:v>Comercial Eléctrica Canarias, S.A.</x:v>
      </x:c>
      <x:c r="D332" s="38" t="str">
        <x:v>15/05/2026</x:v>
      </x:c>
      <x:c r="E332" s="38" t="str">
        <x:v>Albarán 132.393/013 (08/05/2026)</x:v>
      </x:c>
      <x:c r="F332" s="38" t="str">
        <x:v>880200CCT / 8303001</x:v>
      </x:c>
      <x:c r="G332" s="38" t="str">
        <x:v>APL LD 14W 1400LM CCT BL IP65</x:v>
      </x:c>
      <x:c r="H332" s="45" t="n">
        <x:v>1</x:v>
      </x:c>
      <x:c r="I332" s="47" t="n">
        <x:v>14.65</x:v>
      </x:c>
      <x:c r="J332" s="49" t="n">
        <x:v>0</x:v>
      </x:c>
      <x:c r="K332" s="51" t="n">
        <x:v>14.75</x:v>
      </x:c>
      <x:c r="L332" s="55" t="n">
        <x:v>0.07</x:v>
      </x:c>
    </x:row>
    <x:row r="333">
      <x:c r="B333" s="37" t="str">
        <x:v>Factura 92010826</x:v>
      </x:c>
      <x:c r="C333" s="38" t="str">
        <x:v>Comercial Eléctrica Canarias, S.A.</x:v>
      </x:c>
      <x:c r="D333" s="38" t="str">
        <x:v>15/05/2026</x:v>
      </x:c>
      <x:c r="E333" s="38" t="str">
        <x:v>Albarán 132.394/013 (08/05/2026)</x:v>
      </x:c>
      <x:c r="F333" s="38" t="str">
        <x:v>OSR-4058075844681 / 844681</x:v>
      </x:c>
      <x:c r="G333" s="38" t="str">
        <x:v>M TIRA LD 12W 4K IP66 230V</x:v>
      </x:c>
      <x:c r="H333" s="45" t="n">
        <x:v>3</x:v>
      </x:c>
      <x:c r="I333" s="47" t="n">
        <x:v>8.013</x:v>
      </x:c>
      <x:c r="J333" s="49" t="n">
        <x:v>0</x:v>
      </x:c>
      <x:c r="K333" s="51" t="n">
        <x:v>24.07</x:v>
      </x:c>
      <x:c r="L333" s="55" t="n">
        <x:v>0.07</x:v>
      </x:c>
    </x:row>
    <x:row r="334">
      <x:c r="B334" s="37" t="str">
        <x:v>Factura 92010826</x:v>
      </x:c>
      <x:c r="C334" s="38" t="str">
        <x:v>Comercial Eléctrica Canarias, S.A.</x:v>
      </x:c>
      <x:c r="D334" s="38" t="str">
        <x:v>15/05/2026</x:v>
      </x:c>
      <x:c r="E334" s="38" t="str">
        <x:v>Albarán 132.507/013 (14/05/2026)</x:v>
      </x:c>
      <x:c r="F334" s="38" t="str">
        <x:v>PEM-10011021 / 1267</x:v>
      </x:c>
      <x:c r="G334" s="38" t="str">
        <x:v>TUBO PVC FLEX.EXTER.PG21</x:v>
      </x:c>
      <x:c r="H334" s="45" t="n">
        <x:v>10</x:v>
      </x:c>
      <x:c r="I334" s="47" t="n">
        <x:v>1.313</x:v>
      </x:c>
      <x:c r="J334" s="49" t="n">
        <x:v>0</x:v>
      </x:c>
      <x:c r="K334" s="51" t="n">
        <x:v>13.13</x:v>
      </x:c>
      <x:c r="L334" s="55" t="n">
        <x:v>0.07</x:v>
      </x:c>
    </x:row>
    <x:row r="335">
      <x:c r="B335" s="37" t="str">
        <x:v>Factura 92010826</x:v>
      </x:c>
      <x:c r="C335" s="38" t="str">
        <x:v>Comercial Eléctrica Canarias, S.A.</x:v>
      </x:c>
      <x:c r="D335" s="38" t="str">
        <x:v>15/05/2026</x:v>
      </x:c>
      <x:c r="E335" s="38" t="str">
        <x:v>Albarán 132.507/013 (14/05/2026)</x:v>
      </x:c>
      <x:c r="F335" s="38" t="str">
        <x:v>GEW-GW16402TB / 91640200</x:v>
      </x:c>
      <x:c r="G335" s="38" t="str">
        <x:v>PLACA GEO 2H BLANCO TB</x:v>
      </x:c>
      <x:c r="H335" s="45" t="n">
        <x:v>2</x:v>
      </x:c>
      <x:c r="I335" s="47" t="n">
        <x:v>1.393</x:v>
      </x:c>
      <x:c r="J335" s="49" t="n">
        <x:v>0</x:v>
      </x:c>
      <x:c r="K335" s="51" t="n">
        <x:v>2.79</x:v>
      </x:c>
      <x:c r="L335" s="55" t="n">
        <x:v>0.07</x:v>
      </x:c>
    </x:row>
    <x:row r="336">
      <x:c r="B336" s="37" t="str">
        <x:v>Factura 92010826</x:v>
      </x:c>
      <x:c r="C336" s="38" t="str">
        <x:v>Comercial Eléctrica Canarias, S.A.</x:v>
      </x:c>
      <x:c r="D336" s="38" t="str">
        <x:v>15/05/2026</x:v>
      </x:c>
      <x:c r="E336" s="38" t="str">
        <x:v>Albarán 132.507/013 (14/05/2026)</x:v>
      </x:c>
      <x:c r="F336" s="38" t="str">
        <x:v>GEW-GW16803 / 916803</x:v>
      </x:c>
      <x:c r="G336" s="38" t="str">
        <x:v>SOPORTE 1 a 3M CAJA RECT</x:v>
      </x:c>
      <x:c r="H336" s="45" t="n">
        <x:v>2</x:v>
      </x:c>
      <x:c r="I336" s="47" t="n">
        <x:v>0.813</x:v>
      </x:c>
      <x:c r="J336" s="49" t="n">
        <x:v>0</x:v>
      </x:c>
      <x:c r="K336" s="51" t="n">
        <x:v>1.63</x:v>
      </x:c>
      <x:c r="L336" s="55" t="n">
        <x:v>0.07</x:v>
      </x:c>
    </x:row>
    <x:row r="337">
      <x:c r="B337" s="37" t="str">
        <x:v>Factura 92010826</x:v>
      </x:c>
      <x:c r="C337" s="38" t="str">
        <x:v>Comercial Eléctrica Canarias, S.A.</x:v>
      </x:c>
      <x:c r="D337" s="38" t="str">
        <x:v>15/05/2026</x:v>
      </x:c>
      <x:c r="E337" s="38" t="str">
        <x:v>Albarán 132.507/013 (14/05/2026)</x:v>
      </x:c>
      <x:c r="F337" s="38" t="str">
        <x:v>GEW-GW10241 / 910241</x:v>
      </x:c>
      <x:c r="G337" s="38" t="str">
        <x:v>BASE SCHUKO BLANCO 2M 16 N.ESP</x:v>
      </x:c>
      <x:c r="H337" s="45" t="n">
        <x:v>2</x:v>
      </x:c>
      <x:c r="I337" s="47" t="n">
        <x:v>2.877</x:v>
      </x:c>
      <x:c r="J337" s="49" t="n">
        <x:v>0</x:v>
      </x:c>
      <x:c r="K337" s="51" t="n">
        <x:v>5.75</x:v>
      </x:c>
      <x:c r="L337" s="55" t="n">
        <x:v>0.07</x:v>
      </x:c>
    </x:row>
    <x:row r="338">
      <x:c r="B338" s="37" t="str">
        <x:v>Factura 92010826</x:v>
      </x:c>
      <x:c r="C338" s="38" t="str">
        <x:v>Comercial Eléctrica Canarias, S.A.</x:v>
      </x:c>
      <x:c r="D338" s="38" t="str">
        <x:v>15/05/2026</x:v>
      </x:c>
      <x:c r="E338" s="38" t="str">
        <x:v>Albarán 132.507/013 (14/05/2026)</x:v>
      </x:c>
      <x:c r="F338" s="38" t="str">
        <x:v>OSR-4099854187278 / 386662</x:v>
      </x:c>
      <x:c r="G338" s="38" t="str">
        <x:v>PANEL ECO-CLASS 60X60 36W/86</x:v>
      </x:c>
      <x:c r="H338" s="45" t="n">
        <x:v>1</x:v>
      </x:c>
      <x:c r="I338" s="47" t="n">
        <x:v>19.25</x:v>
      </x:c>
      <x:c r="J338" s="49" t="n">
        <x:v>0</x:v>
      </x:c>
      <x:c r="K338" s="51" t="n">
        <x:v>19.75</x:v>
      </x:c>
      <x:c r="L338" s="55" t="n">
        <x:v>0.07</x:v>
      </x:c>
    </x:row>
    <x:row r="339">
      <x:c r="B339" s="37" t="str">
        <x:v>Factura 92010826</x:v>
      </x:c>
      <x:c r="C339" s="38" t="str">
        <x:v>Comercial Eléctrica Canarias, S.A.</x:v>
      </x:c>
      <x:c r="D339" s="38" t="str">
        <x:v>15/05/2026</x:v>
      </x:c>
      <x:c r="E339" s="38" t="str">
        <x:v>Albarán 162.371/016 (06/05/2026) NUM.VALE AUTORIZADO</x:v>
      </x:c>
      <x:c r="F339" s="38" t="str">
        <x:v>D1L0110823 / 202376</x:v>
      </x:c>
      <x:c r="G339" s="38" t="str">
        <x:v>DPN 1MOD. 1P+N 16A C 6KA</x:v>
      </x:c>
      <x:c r="H339" s="45" t="n">
        <x:v>3</x:v>
      </x:c>
      <x:c r="I339" s="47" t="n">
        <x:v>6.84</x:v>
      </x:c>
      <x:c r="J339" s="49" t="n">
        <x:v>0</x:v>
      </x:c>
      <x:c r="K339" s="51" t="n">
        <x:v>20.52</x:v>
      </x:c>
      <x:c r="L339" s="55" t="n">
        <x:v>0.07</x:v>
      </x:c>
    </x:row>
    <x:row r="340">
      <x:c r="B340" s="37" t="str">
        <x:v>Factura 92010826</x:v>
      </x:c>
      <x:c r="C340" s="38" t="str">
        <x:v>Comercial Eléctrica Canarias, S.A.</x:v>
      </x:c>
      <x:c r="D340" s="38" t="str">
        <x:v>15/05/2026</x:v>
      </x:c>
      <x:c r="E340" s="38" t="str">
        <x:v>Albarán 162.440/016 (08/05/2026)</x:v>
      </x:c>
      <x:c r="F340" s="38" t="str">
        <x:v>OSR-4058075844780 / 844780</x:v>
      </x:c>
      <x:c r="G340" s="38" t="str">
        <x:v>CONECTOR ALIMENT+TAPA FINAL</x:v>
      </x:c>
      <x:c r="H340" s="45" t="n">
        <x:v>3</x:v>
      </x:c>
      <x:c r="I340" s="47" t="n">
        <x:v>5.216</x:v>
      </x:c>
      <x:c r="J340" s="49" t="n">
        <x:v>0</x:v>
      </x:c>
      <x:c r="K340" s="51" t="n">
        <x:v>15.65</x:v>
      </x:c>
      <x:c r="L340" s="55" t="n">
        <x:v>0.07</x:v>
      </x:c>
    </x:row>
    <x:row r="341">
      <x:c r="B341" s="37" t="str">
        <x:v>Factura 92010826</x:v>
      </x:c>
      <x:c r="C341" s="38" t="str">
        <x:v>Comercial Eléctrica Canarias, S.A.</x:v>
      </x:c>
      <x:c r="D341" s="38" t="str">
        <x:v>15/05/2026</x:v>
      </x:c>
      <x:c r="E341" s="38" t="str">
        <x:v>Albarán 162.440/016 (08/05/2026)</x:v>
      </x:c>
      <x:c r="F341" s="38" t="str">
        <x:v>EFA-37011 CBR / 72600</x:v>
      </x:c>
      <x:c r="G341" s="38" t="str">
        <x:v>INTERRUPTOR S/PARED CANAL BLAN</x:v>
      </x:c>
      <x:c r="H341" s="45" t="n">
        <x:v>1</x:v>
      </x:c>
      <x:c r="I341" s="47" t="n">
        <x:v>2.369</x:v>
      </x:c>
      <x:c r="J341" s="49" t="n">
        <x:v>0</x:v>
      </x:c>
      <x:c r="K341" s="51" t="n">
        <x:v>2.37</x:v>
      </x:c>
      <x:c r="L341" s="55" t="n">
        <x:v>0.03</x:v>
      </x:c>
    </x:row>
    <x:row r="342">
      <x:c r="B342" s="37" t="str">
        <x:v>Factura 92010826</x:v>
      </x:c>
      <x:c r="C342" s="38" t="str">
        <x:v>Comercial Eléctrica Canarias, S.A.</x:v>
      </x:c>
      <x:c r="D342" s="38" t="str">
        <x:v>15/05/2026</x:v>
      </x:c>
      <x:c r="E342" s="38" t="str">
        <x:v>Albarán 162.533/016 (13/05/2026)</x:v>
      </x:c>
      <x:c r="F342" s="38" t="str">
        <x:v>GEW-GW16102TB / 91610200</x:v>
      </x:c>
      <x:c r="G342" s="38" t="str">
        <x:v>PLACA ONE 2H BLANCO LECHE TB</x:v>
      </x:c>
      <x:c r="H342" s="45" t="n">
        <x:v>2</x:v>
      </x:c>
      <x:c r="I342" s="47" t="n">
        <x:v>1.393</x:v>
      </x:c>
      <x:c r="J342" s="49" t="n">
        <x:v>0</x:v>
      </x:c>
      <x:c r="K342" s="51" t="n">
        <x:v>2.79</x:v>
      </x:c>
      <x:c r="L342" s="55" t="n">
        <x:v>0.07</x:v>
      </x:c>
    </x:row>
    <x:row r="343">
      <x:c r="B343" s="37" t="str">
        <x:v>Factura 92010826</x:v>
      </x:c>
      <x:c r="C343" s="38" t="str">
        <x:v>Comercial Eléctrica Canarias, S.A.</x:v>
      </x:c>
      <x:c r="D343" s="38" t="str">
        <x:v>15/05/2026</x:v>
      </x:c>
      <x:c r="E343" s="38" t="str">
        <x:v>Albarán 162.533/016 (13/05/2026)</x:v>
      </x:c>
      <x:c r="F343" s="38" t="str">
        <x:v>GEW-GW16103TB / 91610300</x:v>
      </x:c>
      <x:c r="G343" s="38" t="str">
        <x:v>PLACA ONE 3H BLANCO LECHE TB</x:v>
      </x:c>
      <x:c r="H343" s="45" t="n">
        <x:v>2</x:v>
      </x:c>
      <x:c r="I343" s="47" t="n">
        <x:v>1.5</x:v>
      </x:c>
      <x:c r="J343" s="49" t="n">
        <x:v>0</x:v>
      </x:c>
      <x:c r="K343" s="51" t="n">
        <x:v>3</x:v>
      </x:c>
      <x:c r="L343" s="55" t="n">
        <x:v>0.07</x:v>
      </x:c>
    </x:row>
    <x:row r="344">
      <x:c r="B344" s="37" t="str">
        <x:v>Factura 92010826</x:v>
      </x:c>
      <x:c r="C344" s="38" t="str">
        <x:v>Comercial Eléctrica Canarias, S.A.</x:v>
      </x:c>
      <x:c r="D344" s="38" t="str">
        <x:v>15/05/2026</x:v>
      </x:c>
      <x:c r="E344" s="38" t="str">
        <x:v>Albarán 162.533/016 (13/05/2026)</x:v>
      </x:c>
      <x:c r="F344" s="38" t="str">
        <x:v>GEW-GW10195 / 910195</x:v>
      </x:c>
      <x:c r="G344" s="38" t="str">
        <x:v>TACO CIEGO BLANCO 1M</x:v>
      </x:c>
      <x:c r="H344" s="45" t="n">
        <x:v>2</x:v>
      </x:c>
      <x:c r="I344" s="47" t="n">
        <x:v>0.701</x:v>
      </x:c>
      <x:c r="J344" s="49" t="n">
        <x:v>0</x:v>
      </x:c>
      <x:c r="K344" s="51" t="n">
        <x:v>1.4</x:v>
      </x:c>
      <x:c r="L344" s="55" t="n">
        <x:v>0.07</x:v>
      </x:c>
    </x:row>
    <x:row r="345">
      <x:c r="B345" s="37" t="str">
        <x:v>Factura 92010826</x:v>
      </x:c>
      <x:c r="C345" s="38" t="str">
        <x:v>Comercial Eléctrica Canarias, S.A.</x:v>
      </x:c>
      <x:c r="D345" s="38" t="str">
        <x:v>15/05/2026</x:v>
      </x:c>
      <x:c r="E345" s="38" t="str">
        <x:v>Albarán 162.533/016 (13/05/2026)</x:v>
      </x:c>
      <x:c r="F345" s="38" t="str">
        <x:v>GEW-GW10051 / 910051</x:v>
      </x:c>
      <x:c r="G345" s="38" t="str">
        <x:v>CONMUTADOR BLANCO 1M 16A</x:v>
      </x:c>
      <x:c r="H345" s="45" t="n">
        <x:v>2</x:v>
      </x:c>
      <x:c r="I345" s="47" t="n">
        <x:v>2.496</x:v>
      </x:c>
      <x:c r="J345" s="49" t="n">
        <x:v>0</x:v>
      </x:c>
      <x:c r="K345" s="51" t="n">
        <x:v>4.99</x:v>
      </x:c>
      <x:c r="L345" s="55" t="n">
        <x:v>0.07</x:v>
      </x:c>
    </x:row>
    <x:row r="346">
      <x:c r="B346" s="37" t="str">
        <x:v>Factura 91782626</x:v>
      </x:c>
      <x:c r="C346" s="38" t="str">
        <x:v>Comercial Eléctrica Canarias, S.A.</x:v>
      </x:c>
      <x:c r="D346" s="38" t="str">
        <x:v>30/04/2026</x:v>
      </x:c>
      <x:c r="E346" s="38" t="str">
        <x:v>Albarán 81.178/008 (21/04/2026)</x:v>
      </x:c>
      <x:c r="F346" s="38" t="str">
        <x:v>SCH-A9R60240CAN / 10060240</x:v>
      </x:c>
      <x:c r="G346" s="38" t="str">
        <x:v>DIFERENCIAL 2P 40A 30mA AC</x:v>
      </x:c>
      <x:c r="H346" s="45" t="n">
        <x:v>1</x:v>
      </x:c>
      <x:c r="I346" s="47" t="n">
        <x:v>14.654</x:v>
      </x:c>
      <x:c r="J346" s="49" t="n">
        <x:v>0</x:v>
      </x:c>
      <x:c r="K346" s="51" t="n">
        <x:v>14.65</x:v>
      </x:c>
      <x:c r="L346" s="55" t="n">
        <x:v>0.07</x:v>
      </x:c>
    </x:row>
    <x:row r="347">
      <x:c r="B347" s="37" t="str">
        <x:v>Factura 91782626</x:v>
      </x:c>
      <x:c r="C347" s="38" t="str">
        <x:v>Comercial Eléctrica Canarias, S.A.</x:v>
      </x:c>
      <x:c r="D347" s="38" t="str">
        <x:v>30/04/2026</x:v>
      </x:c>
      <x:c r="E347" s="38" t="str">
        <x:v>Albarán 81.178/008 (21/04/2026)</x:v>
      </x:c>
      <x:c r="F347" s="38" t="str">
        <x:v>SCH-NU7002P / 6700210</x:v>
      </x:c>
      <x:c r="G347" s="38" t="str">
        <x:v>CHASIS UNIV. 1 ELEM.PLAST.NU</x:v>
      </x:c>
      <x:c r="H347" s="45" t="n">
        <x:v>2</x:v>
      </x:c>
      <x:c r="I347" s="47" t="n">
        <x:v>0.394</x:v>
      </x:c>
      <x:c r="J347" s="49" t="n">
        <x:v>0</x:v>
      </x:c>
      <x:c r="K347" s="51" t="n">
        <x:v>0.79</x:v>
      </x:c>
      <x:c r="L347" s="55" t="n">
        <x:v>0.07</x:v>
      </x:c>
    </x:row>
    <x:row r="348">
      <x:c r="B348" s="37" t="str">
        <x:v>Factura 91782626</x:v>
      </x:c>
      <x:c r="C348" s="38" t="str">
        <x:v>Comercial Eléctrica Canarias, S.A.</x:v>
      </x:c>
      <x:c r="D348" s="38" t="str">
        <x:v>30/04/2026</x:v>
      </x:c>
      <x:c r="E348" s="38" t="str">
        <x:v>Albarán 81.178/008 (21/04/2026)</x:v>
      </x:c>
      <x:c r="F348" s="38" t="str">
        <x:v>SCH-NU200418 / 6200418</x:v>
      </x:c>
      <x:c r="G348" s="38" t="str">
        <x:v>MARCO UNICA STUD.2+2M BLA NU</x:v>
      </x:c>
      <x:c r="H348" s="45" t="n">
        <x:v>1</x:v>
      </x:c>
      <x:c r="I348" s="47" t="n">
        <x:v>1.985</x:v>
      </x:c>
      <x:c r="J348" s="49" t="n">
        <x:v>0</x:v>
      </x:c>
      <x:c r="K348" s="51" t="n">
        <x:v>1.99</x:v>
      </x:c>
      <x:c r="L348" s="55" t="n">
        <x:v>0.07</x:v>
      </x:c>
    </x:row>
    <x:row r="349">
      <x:c r="B349" s="37" t="str">
        <x:v>Factura 91782626</x:v>
      </x:c>
      <x:c r="C349" s="38" t="str">
        <x:v>Comercial Eléctrica Canarias, S.A.</x:v>
      </x:c>
      <x:c r="D349" s="38" t="str">
        <x:v>30/04/2026</x:v>
      </x:c>
      <x:c r="E349" s="38" t="str">
        <x:v>Albarán 81.178/008 (21/04/2026)</x:v>
      </x:c>
      <x:c r="F349" s="38" t="str">
        <x:v>SCH-NU303718 / 6303718</x:v>
      </x:c>
      <x:c r="G349" s="38" t="str">
        <x:v>BASE SCHUKO 16A BLANCO NU</x:v>
      </x:c>
      <x:c r="H349" s="45" t="n">
        <x:v>1</x:v>
      </x:c>
      <x:c r="I349" s="47" t="n">
        <x:v>2.888</x:v>
      </x:c>
      <x:c r="J349" s="49" t="n">
        <x:v>0</x:v>
      </x:c>
      <x:c r="K349" s="51" t="n">
        <x:v>2.89</x:v>
      </x:c>
      <x:c r="L349" s="55" t="n">
        <x:v>0.07</x:v>
      </x:c>
    </x:row>
    <x:row r="350">
      <x:c r="B350" s="37" t="str">
        <x:v>Factura 91782626</x:v>
      </x:c>
      <x:c r="C350" s="38" t="str">
        <x:v>Comercial Eléctrica Canarias, S.A.</x:v>
      </x:c>
      <x:c r="D350" s="38" t="str">
        <x:v>30/04/2026</x:v>
      </x:c>
      <x:c r="E350" s="38" t="str">
        <x:v>Albarán 81.178/008 (21/04/2026)</x:v>
      </x:c>
      <x:c r="F350" s="38" t="str">
        <x:v>SCH-NU341518 / 6341518</x:v>
      </x:c>
      <x:c r="G350" s="38" t="str">
        <x:v>TOMA RJ45 6 UTP ANCHA BLANC.NU</x:v>
      </x:c>
      <x:c r="H350" s="45" t="n">
        <x:v>1</x:v>
      </x:c>
      <x:c r="I350" s="47" t="n">
        <x:v>11.675</x:v>
      </x:c>
      <x:c r="J350" s="49" t="n">
        <x:v>0</x:v>
      </x:c>
      <x:c r="K350" s="51" t="n">
        <x:v>11.68</x:v>
      </x:c>
      <x:c r="L350" s="55" t="n">
        <x:v>0.07</x:v>
      </x:c>
    </x:row>
    <x:row r="351">
      <x:c r="B351" s="37" t="str">
        <x:v>Factura 91782626</x:v>
      </x:c>
      <x:c r="C351" s="38" t="str">
        <x:v>Comercial Eléctrica Canarias, S.A.</x:v>
      </x:c>
      <x:c r="D351" s="38" t="str">
        <x:v>30/04/2026</x:v>
      </x:c>
      <x:c r="E351" s="38" t="str">
        <x:v>Albarán 132.114/013 (22/04/2026)</x:v>
      </x:c>
      <x:c r="F351" s="38" t="str">
        <x:v>GEW-GW10241 / 910241</x:v>
      </x:c>
      <x:c r="G351" s="38" t="str">
        <x:v>BASE SCHUKO BLANCO 2M 16 N.ESP</x:v>
      </x:c>
      <x:c r="H351" s="45" t="n">
        <x:v>11</x:v>
      </x:c>
      <x:c r="I351" s="47" t="n">
        <x:v>2.877</x:v>
      </x:c>
      <x:c r="J351" s="49" t="n">
        <x:v>0</x:v>
      </x:c>
      <x:c r="K351" s="51" t="n">
        <x:v>31.65</x:v>
      </x:c>
      <x:c r="L351" s="55" t="n">
        <x:v>0.07</x:v>
      </x:c>
    </x:row>
    <x:row r="352">
      <x:c r="B352" s="37" t="str">
        <x:v>Factura 91782626</x:v>
      </x:c>
      <x:c r="C352" s="38" t="str">
        <x:v>Comercial Eléctrica Canarias, S.A.</x:v>
      </x:c>
      <x:c r="D352" s="38" t="str">
        <x:v>30/04/2026</x:v>
      </x:c>
      <x:c r="E352" s="38" t="str">
        <x:v>Albarán 132.114/013 (22/04/2026)</x:v>
      </x:c>
      <x:c r="F352" s="38" t="str">
        <x:v>GEW-GW16822 / 916822</x:v>
      </x:c>
      <x:c r="G352" s="38" t="str">
        <x:v>SOPORTE 2M TORN.CAJA CUADRA</x:v>
      </x:c>
      <x:c r="H352" s="45" t="n">
        <x:v>1</x:v>
      </x:c>
      <x:c r="I352" s="47" t="n">
        <x:v>0.39</x:v>
      </x:c>
      <x:c r="J352" s="49" t="n">
        <x:v>0</x:v>
      </x:c>
      <x:c r="K352" s="51" t="n">
        <x:v>0.39</x:v>
      </x:c>
      <x:c r="L352" s="55" t="n">
        <x:v>0.07</x:v>
      </x:c>
    </x:row>
    <x:row r="353">
      <x:c r="B353" s="37" t="str">
        <x:v>Factura 91782626</x:v>
      </x:c>
      <x:c r="C353" s="38" t="str">
        <x:v>Comercial Eléctrica Canarias, S.A.</x:v>
      </x:c>
      <x:c r="D353" s="38" t="str">
        <x:v>30/04/2026</x:v>
      </x:c>
      <x:c r="E353" s="38" t="str">
        <x:v>Albarán 132.114/013 (22/04/2026)</x:v>
      </x:c>
      <x:c r="F353" s="38" t="str">
        <x:v>GEW-GW16422TB / 91642200</x:v>
      </x:c>
      <x:c r="G353" s="38" t="str">
        <x:v>PLACA GEO UNI 2H BLANCO TB</x:v>
      </x:c>
      <x:c r="H353" s="45" t="n">
        <x:v>1</x:v>
      </x:c>
      <x:c r="I353" s="47" t="n">
        <x:v>1.1</x:v>
      </x:c>
      <x:c r="J353" s="49" t="n">
        <x:v>0</x:v>
      </x:c>
      <x:c r="K353" s="51" t="n">
        <x:v>1.1</x:v>
      </x:c>
      <x:c r="L353" s="55" t="n">
        <x:v>0.07</x:v>
      </x:c>
    </x:row>
    <x:row r="354">
      <x:c r="B354" s="37" t="str">
        <x:v>Factura 91782626</x:v>
      </x:c>
      <x:c r="C354" s="38" t="str">
        <x:v>Comercial Eléctrica Canarias, S.A.</x:v>
      </x:c>
      <x:c r="D354" s="38" t="str">
        <x:v>30/04/2026</x:v>
      </x:c>
      <x:c r="E354" s="38" t="str">
        <x:v>Albarán 132.114/013 (22/04/2026)</x:v>
      </x:c>
      <x:c r="F354" s="38" t="str">
        <x:v>SCH-NU210218 / 6210218</x:v>
      </x:c>
      <x:c r="G354" s="38" t="str">
        <x:v>MARCO RECTANGULAR 2M BLAN.NU</x:v>
      </x:c>
      <x:c r="H354" s="45" t="n">
        <x:v>2</x:v>
      </x:c>
      <x:c r="I354" s="47" t="n">
        <x:v>1.177</x:v>
      </x:c>
      <x:c r="J354" s="49" t="n">
        <x:v>0</x:v>
      </x:c>
      <x:c r="K354" s="51" t="n">
        <x:v>2.35</x:v>
      </x:c>
      <x:c r="L354" s="55" t="n">
        <x:v>0.07</x:v>
      </x:c>
    </x:row>
    <x:row r="355">
      <x:c r="B355" s="37" t="str">
        <x:v>Factura 91782626</x:v>
      </x:c>
      <x:c r="C355" s="38" t="str">
        <x:v>Comercial Eléctrica Canarias, S.A.</x:v>
      </x:c>
      <x:c r="D355" s="38" t="str">
        <x:v>30/04/2026</x:v>
      </x:c>
      <x:c r="E355" s="38" t="str">
        <x:v>Albarán 132.114/013 (22/04/2026)</x:v>
      </x:c>
      <x:c r="F355" s="38" t="str">
        <x:v>SCH-NU7103P / 6710310</x:v>
      </x:c>
      <x:c r="G355" s="38" t="str">
        <x:v>CHASIS RECT. 3 ELEM.TECNO NU</x:v>
      </x:c>
      <x:c r="H355" s="45" t="n">
        <x:v>2</x:v>
      </x:c>
      <x:c r="I355" s="47" t="n">
        <x:v>0.725</x:v>
      </x:c>
      <x:c r="J355" s="49" t="n">
        <x:v>0</x:v>
      </x:c>
      <x:c r="K355" s="51" t="n">
        <x:v>1.45</x:v>
      </x:c>
      <x:c r="L355" s="55" t="n">
        <x:v>0.07</x:v>
      </x:c>
    </x:row>
    <x:row r="356">
      <x:c r="B356" s="37" t="str">
        <x:v>Factura 91782626</x:v>
      </x:c>
      <x:c r="C356" s="38" t="str">
        <x:v>Comercial Eléctrica Canarias, S.A.</x:v>
      </x:c>
      <x:c r="D356" s="38" t="str">
        <x:v>30/04/2026</x:v>
      </x:c>
      <x:c r="E356" s="38" t="str">
        <x:v>Albarán 132.114/013 (22/04/2026)</x:v>
      </x:c>
      <x:c r="F356" s="38" t="str">
        <x:v>SCH-NU303718 / 6303718</x:v>
      </x:c>
      <x:c r="G356" s="38" t="str">
        <x:v>BASE SCHUKO 16A BLANCO NU</x:v>
      </x:c>
      <x:c r="H356" s="45" t="n">
        <x:v>2</x:v>
      </x:c>
      <x:c r="I356" s="47" t="n">
        <x:v>2.888</x:v>
      </x:c>
      <x:c r="J356" s="49" t="n">
        <x:v>0</x:v>
      </x:c>
      <x:c r="K356" s="51" t="n">
        <x:v>5.78</x:v>
      </x:c>
      <x:c r="L356" s="55" t="n">
        <x:v>0.07</x:v>
      </x:c>
    </x:row>
    <x:row r="357">
      <x:c r="B357" s="37" t="str">
        <x:v>Factura 91782626</x:v>
      </x:c>
      <x:c r="C357" s="38" t="str">
        <x:v>Comercial Eléctrica Canarias, S.A.</x:v>
      </x:c>
      <x:c r="D357" s="38" t="str">
        <x:v>30/04/2026</x:v>
      </x:c>
      <x:c r="E357" s="38" t="str">
        <x:v>Albarán 132.114/013 (22/04/2026)</x:v>
      </x:c>
      <x:c r="F357" s="38" t="str">
        <x:v>GEW-GW16703TBN / 91670350</x:v>
      </x:c>
      <x:c r="G357" s="38" t="str">
        <x:v>PLACA ESTANCA 3M IP55 BLANCO</x:v>
      </x:c>
      <x:c r="H357" s="45" t="n">
        <x:v>7</x:v>
      </x:c>
      <x:c r="I357" s="47" t="n">
        <x:v>8.132</x:v>
      </x:c>
      <x:c r="J357" s="49" t="n">
        <x:v>0</x:v>
      </x:c>
      <x:c r="K357" s="51" t="n">
        <x:v>56.92</x:v>
      </x:c>
      <x:c r="L357" s="55" t="n">
        <x:v>0.07</x:v>
      </x:c>
    </x:row>
    <x:row r="358">
      <x:c r="B358" s="37" t="str">
        <x:v>Factura 91782626</x:v>
      </x:c>
      <x:c r="C358" s="38" t="str">
        <x:v>Comercial Eléctrica Canarias, S.A.</x:v>
      </x:c>
      <x:c r="D358" s="38" t="str">
        <x:v>30/04/2026</x:v>
      </x:c>
      <x:c r="E358" s="38" t="str">
        <x:v>Albarán 132.114/013 (22/04/2026)</x:v>
      </x:c>
      <x:c r="F358" s="38" t="str">
        <x:v>375011 / 80316</x:v>
      </x:c>
      <x:c r="G358" s="38" t="str">
        <x:v>PORTERO A1 1Viv.CONVENCIONAL</x:v>
      </x:c>
      <x:c r="H358" s="45" t="n">
        <x:v>1</x:v>
      </x:c>
      <x:c r="I358" s="47" t="n">
        <x:v>47</x:v>
      </x:c>
      <x:c r="J358" s="49" t="n">
        <x:v>0</x:v>
      </x:c>
      <x:c r="K358" s="51" t="n">
        <x:v>47</x:v>
      </x:c>
      <x:c r="L358" s="55" t="n">
        <x:v>0.07</x:v>
      </x:c>
    </x:row>
    <x:row r="359">
      <x:c r="B359" s="37" t="str">
        <x:v>Factura 91782626</x:v>
      </x:c>
      <x:c r="C359" s="38" t="str">
        <x:v>Comercial Eléctrica Canarias, S.A.</x:v>
      </x:c>
      <x:c r="D359" s="38" t="str">
        <x:v>30/04/2026</x:v>
      </x:c>
      <x:c r="E359" s="38" t="str">
        <x:v>Albarán 132.114/013 (22/04/2026)</x:v>
      </x:c>
      <x:c r="F359" s="38" t="str">
        <x:v>GEW-GW16402TB / 91640200</x:v>
      </x:c>
      <x:c r="G359" s="38" t="str">
        <x:v>PLACA GEO 2H BLANCO TB</x:v>
      </x:c>
      <x:c r="H359" s="45" t="n">
        <x:v>1</x:v>
      </x:c>
      <x:c r="I359" s="47" t="n">
        <x:v>1.393</x:v>
      </x:c>
      <x:c r="J359" s="49" t="n">
        <x:v>0</x:v>
      </x:c>
      <x:c r="K359" s="51" t="n">
        <x:v>1.39</x:v>
      </x:c>
      <x:c r="L359" s="55" t="n">
        <x:v>0.07</x:v>
      </x:c>
    </x:row>
    <x:row r="360">
      <x:c r="B360" s="37" t="str">
        <x:v>Factura 91782626</x:v>
      </x:c>
      <x:c r="C360" s="38" t="str">
        <x:v>Comercial Eléctrica Canarias, S.A.</x:v>
      </x:c>
      <x:c r="D360" s="38" t="str">
        <x:v>30/04/2026</x:v>
      </x:c>
      <x:c r="E360" s="38" t="str">
        <x:v>Albarán 132.114/013 (22/04/2026)</x:v>
      </x:c>
      <x:c r="F360" s="38" t="str">
        <x:v>GEW-GW16752 / 916752</x:v>
      </x:c>
      <x:c r="G360" s="38" t="str">
        <x:v>CAJA SUPERFICIE 2MOD.BLANCA</x:v>
      </x:c>
      <x:c r="H360" s="45" t="n">
        <x:v>1</x:v>
      </x:c>
      <x:c r="I360" s="47" t="n">
        <x:v>3.6</x:v>
      </x:c>
      <x:c r="J360" s="49" t="n">
        <x:v>0</x:v>
      </x:c>
      <x:c r="K360" s="51" t="n">
        <x:v>3.6</x:v>
      </x:c>
      <x:c r="L360" s="55" t="n">
        <x:v>0.07</x:v>
      </x:c>
    </x:row>
    <x:row r="361">
      <x:c r="B361" s="37" t="str">
        <x:v>Factura 91782626</x:v>
      </x:c>
      <x:c r="C361" s="38" t="str">
        <x:v>Comercial Eléctrica Canarias, S.A.</x:v>
      </x:c>
      <x:c r="D361" s="38" t="str">
        <x:v>30/04/2026</x:v>
      </x:c>
      <x:c r="E361" s="38" t="str">
        <x:v>Albarán 162.038/016 (16/04/2026)</x:v>
      </x:c>
      <x:c r="F361" s="38" t="str">
        <x:v>PHI-16153500 / 59253500</x:v>
      </x:c>
      <x:c r="G361" s="38" t="str">
        <x:v>LAMP LD 14-100W E27 27K 1521LM</x:v>
      </x:c>
      <x:c r="H361" s="45" t="n">
        <x:v>1</x:v>
      </x:c>
      <x:c r="I361" s="47" t="n">
        <x:v>3.35</x:v>
      </x:c>
      <x:c r="J361" s="49" t="n">
        <x:v>0</x:v>
      </x:c>
      <x:c r="K361" s="51" t="n">
        <x:v>3.46</x:v>
      </x:c>
      <x:c r="L361" s="55" t="n">
        <x:v>0.07</x:v>
      </x:c>
    </x:row>
    <x:row r="362">
      <x:c r="B362" s="37" t="str">
        <x:v>Factura 91782626</x:v>
      </x:c>
      <x:c r="C362" s="38" t="str">
        <x:v>Comercial Eléctrica Canarias, S.A.</x:v>
      </x:c>
      <x:c r="D362" s="38" t="str">
        <x:v>30/04/2026</x:v>
      </x:c>
      <x:c r="E362" s="38" t="str">
        <x:v>Albarán 162.038/016 (16/04/2026)</x:v>
      </x:c>
      <x:c r="F362" s="38" t="str">
        <x:v>PHI-16250100 / 59250100</x:v>
      </x:c>
      <x:c r="G362" s="38" t="str">
        <x:v>LAMP LED 14W-100w E27 6K 1521L</x:v>
      </x:c>
      <x:c r="H362" s="45" t="n">
        <x:v>6</x:v>
      </x:c>
      <x:c r="I362" s="47" t="n">
        <x:v>3.35</x:v>
      </x:c>
      <x:c r="J362" s="49" t="n">
        <x:v>0</x:v>
      </x:c>
      <x:c r="K362" s="51" t="n">
        <x:v>20.76</x:v>
      </x:c>
      <x:c r="L362" s="55" t="n">
        <x:v>0.07</x:v>
      </x:c>
    </x:row>
    <x:row r="363">
      <x:c r="B363" s="37" t="str">
        <x:v>Factura 91782626</x:v>
      </x:c>
      <x:c r="C363" s="38" t="str">
        <x:v>Comercial Eléctrica Canarias, S.A.</x:v>
      </x:c>
      <x:c r="D363" s="38" t="str">
        <x:v>30/04/2026</x:v>
      </x:c>
      <x:c r="E363" s="38" t="str">
        <x:v>Albarán 162.039/016 (16/04/2026)</x:v>
      </x:c>
      <x:c r="F363" s="38" t="str">
        <x:v>PLY-5538 / 3088</x:v>
      </x:c>
      <x:c r="G363" s="38" t="str">
        <x:v>CINTA AISLANTE N10 33x25 BLANC</x:v>
      </x:c>
      <x:c r="H363" s="45" t="n">
        <x:v>4</x:v>
      </x:c>
      <x:c r="I363" s="47" t="n">
        <x:v>2.18</x:v>
      </x:c>
      <x:c r="J363" s="49" t="n">
        <x:v>0</x:v>
      </x:c>
      <x:c r="K363" s="51" t="n">
        <x:v>8.72</x:v>
      </x:c>
      <x:c r="L363" s="55" t="n">
        <x:v>0.03</x:v>
      </x:c>
    </x:row>
    <x:row r="364">
      <x:c r="B364" s="37" t="str">
        <x:v>Factura 91782626</x:v>
      </x:c>
      <x:c r="C364" s="38" t="str">
        <x:v>Comercial Eléctrica Canarias, S.A.</x:v>
      </x:c>
      <x:c r="D364" s="38" t="str">
        <x:v>30/04/2026</x:v>
      </x:c>
      <x:c r="E364" s="38" t="str">
        <x:v>Albarán 265.485/026 (22/04/2026)</x:v>
      </x:c>
      <x:c r="F364" s="38" t="str">
        <x:v>GEW-GW16703TBN / 91670350</x:v>
      </x:c>
      <x:c r="G364" s="38" t="str">
        <x:v>PLACA ESTANCA 3M IP55 BLANCO</x:v>
      </x:c>
      <x:c r="H364" s="45" t="n">
        <x:v>4</x:v>
      </x:c>
      <x:c r="I364" s="47" t="n">
        <x:v>8.132</x:v>
      </x:c>
      <x:c r="J364" s="49" t="n">
        <x:v>0</x:v>
      </x:c>
      <x:c r="K364" s="51" t="n">
        <x:v>32.53</x:v>
      </x:c>
      <x:c r="L364" s="55" t="n">
        <x:v>0.07</x:v>
      </x:c>
    </x:row>
    <x:row r="365">
      <x:c r="B365" s="37" t="str">
        <x:v>Factura 91782626</x:v>
      </x:c>
      <x:c r="C365" s="38" t="str">
        <x:v>Comercial Eléctrica Canarias, S.A.</x:v>
      </x:c>
      <x:c r="D365" s="38" t="str">
        <x:v>30/04/2026</x:v>
      </x:c>
      <x:c r="E365" s="38" t="str">
        <x:v>Albarán 265.485/026 (22/04/2026)</x:v>
      </x:c>
      <x:c r="F365" s="38" t="str">
        <x:v>GEW-GW10071 / 910071</x:v>
      </x:c>
      <x:c r="G365" s="38" t="str">
        <x:v>CONMUTADOR BLANCO 2M 16A</x:v>
      </x:c>
      <x:c r="H365" s="45" t="n">
        <x:v>6</x:v>
      </x:c>
      <x:c r="I365" s="47" t="n">
        <x:v>2.462</x:v>
      </x:c>
      <x:c r="J365" s="49" t="n">
        <x:v>0</x:v>
      </x:c>
      <x:c r="K365" s="51" t="n">
        <x:v>14.77</x:v>
      </x:c>
      <x:c r="L365" s="55" t="n">
        <x:v>0.07</x:v>
      </x:c>
    </x:row>
    <x:row r="366">
      <x:c r="B366" s="37" t="str">
        <x:v>Factura 91782626</x:v>
      </x:c>
      <x:c r="C366" s="38" t="str">
        <x:v>Comercial Eléctrica Canarias, S.A.</x:v>
      </x:c>
      <x:c r="D366" s="38" t="str">
        <x:v>30/04/2026</x:v>
      </x:c>
      <x:c r="E366" s="38" t="str">
        <x:v>Albarán 265.485/026 (22/04/2026)</x:v>
      </x:c>
      <x:c r="F366" s="38" t="str">
        <x:v>GEW-GW10195 / 910195</x:v>
      </x:c>
      <x:c r="G366" s="38" t="str">
        <x:v>TACO CIEGO BLANCO 1M</x:v>
      </x:c>
      <x:c r="H366" s="45" t="n">
        <x:v>8</x:v>
      </x:c>
      <x:c r="I366" s="47" t="n">
        <x:v>0.701</x:v>
      </x:c>
      <x:c r="J366" s="49" t="n">
        <x:v>0</x:v>
      </x:c>
      <x:c r="K366" s="51" t="n">
        <x:v>5.61</x:v>
      </x:c>
      <x:c r="L366" s="55" t="n">
        <x:v>0.07</x:v>
      </x:c>
    </x:row>
    <x:row r="367">
      <x:c r="B367" s="37" t="str">
        <x:v>Factura 91782626</x:v>
      </x:c>
      <x:c r="C367" s="38" t="str">
        <x:v>Comercial Eléctrica Canarias, S.A.</x:v>
      </x:c>
      <x:c r="D367" s="38" t="str">
        <x:v>30/04/2026</x:v>
      </x:c>
      <x:c r="E367" s="38" t="str">
        <x:v>Albarán 265.485/026 (22/04/2026)</x:v>
      </x:c>
      <x:c r="F367" s="38" t="str">
        <x:v>GEW-GW10153 / 910153</x:v>
      </x:c>
      <x:c r="G367" s="38" t="str">
        <x:v>PUL.TIMBRE BLANCO 1M 16A</x:v>
      </x:c>
      <x:c r="H367" s="45" t="n">
        <x:v>1</x:v>
      </x:c>
      <x:c r="I367" s="47" t="n">
        <x:v>3.249</x:v>
      </x:c>
      <x:c r="J367" s="49" t="n">
        <x:v>0</x:v>
      </x:c>
      <x:c r="K367" s="51" t="n">
        <x:v>3.25</x:v>
      </x:c>
      <x:c r="L367" s="55" t="n">
        <x:v>0.07</x:v>
      </x:c>
    </x:row>
    <x:row r="368">
      <x:c r="B368" s="37" t="str">
        <x:v>Factura 91782626</x:v>
      </x:c>
      <x:c r="C368" s="38" t="str">
        <x:v>Comercial Eléctrica Canarias, S.A.</x:v>
      </x:c>
      <x:c r="D368" s="38" t="str">
        <x:v>30/04/2026</x:v>
      </x:c>
      <x:c r="E368" s="38" t="str">
        <x:v>Albarán 265.486/026 (22/04/2026)</x:v>
      </x:c>
      <x:c r="F368" s="38" t="str">
        <x:v>GEW-GW48005 / 948005</x:v>
      </x:c>
      <x:c r="G368" s="38" t="str">
        <x:v>CAJA REGISTRO PT- 5 160X130X70</x:v>
      </x:c>
      <x:c r="H368" s="45" t="n">
        <x:v>1</x:v>
      </x:c>
      <x:c r="I368" s="47" t="n">
        <x:v>2.67</x:v>
      </x:c>
      <x:c r="J368" s="49" t="n">
        <x:v>0</x:v>
      </x:c>
      <x:c r="K368" s="51" t="n">
        <x:v>2.67</x:v>
      </x:c>
      <x:c r="L368" s="55" t="n">
        <x:v>0.07</x:v>
      </x:c>
    </x:row>
    <x:row r="369">
      <x:c r="B369" s="37" t="str">
        <x:v>Factura 91782626</x:v>
      </x:c>
      <x:c r="C369" s="38" t="str">
        <x:v>Comercial Eléctrica Canarias, S.A.</x:v>
      </x:c>
      <x:c r="D369" s="38" t="str">
        <x:v>30/04/2026</x:v>
      </x:c>
      <x:c r="E369" s="38" t="str">
        <x:v>Albarán 302.056/001 (24/04/2026)</x:v>
      </x:c>
      <x:c r="F369" s="38" t="str">
        <x:v>06220450R0 / 202094</x:v>
      </x:c>
      <x:c r="G369" s="38" t="str">
        <x:v>DIFERENCIAL 2P 40A 30mA A-INMU</x:v>
      </x:c>
      <x:c r="H369" s="45" t="n">
        <x:v>1</x:v>
      </x:c>
      <x:c r="I369" s="47" t="n">
        <x:v>31.58</x:v>
      </x:c>
      <x:c r="J369" s="49" t="n">
        <x:v>0</x:v>
      </x:c>
      <x:c r="K369" s="51" t="n">
        <x:v>31.58</x:v>
      </x:c>
      <x:c r="L369" s="55" t="n">
        <x:v>0.07</x:v>
      </x:c>
    </x:row>
    <x:row r="370">
      <x:c r="B370" s="37" t="str">
        <x:v>Factura 91257026</x:v>
      </x:c>
      <x:c r="C370" s="38" t="str">
        <x:v>Comercial Eléctrica Canarias, S.A.</x:v>
      </x:c>
      <x:c r="D370" s="38" t="str">
        <x:v>31/03/2026</x:v>
      </x:c>
      <x:c r="E370" s="38" t="str">
        <x:v>Albarán 131.668/013 (30/03/2026)</x:v>
      </x:c>
      <x:c r="F370" s="38" t="str">
        <x:v>CAN-80100025 / 366</x:v>
      </x:c>
      <x:c r="G370" s="38" t="str">
        <x:v>TUBO REFLEX M25</x:v>
      </x:c>
      <x:c r="H370" s="45" t="n">
        <x:v>-200</x:v>
      </x:c>
      <x:c r="I370" s="47" t="n">
        <x:v>0.31</x:v>
      </x:c>
      <x:c r="J370" s="49" t="n">
        <x:v>0</x:v>
      </x:c>
      <x:c r="K370" s="51" t="n">
        <x:v>-62</x:v>
      </x:c>
      <x:c r="L370" s="55" t="n">
        <x:v>0.03</x:v>
      </x:c>
    </x:row>
    <x:row r="371">
      <x:c r="B371" s="37" t="str">
        <x:v>Factura 91311926</x:v>
      </x:c>
      <x:c r="C371" s="38" t="str">
        <x:v>Comercial Eléctrica Canarias, S.A.</x:v>
      </x:c>
      <x:c r="D371" s="38" t="str">
        <x:v>31/03/2026</x:v>
      </x:c>
      <x:c r="E371" s="38" t="str">
        <x:v>Albarán 131.430/013 (17/03/2026)</x:v>
      </x:c>
      <x:c r="F371" s="38" t="str">
        <x:v>CABLE / 5551446</x:v>
      </x:c>
      <x:c r="G371" s="38" t="str">
        <x:v>CABLE RZ1-K CPR 0.6/1KV 4G1.5</x:v>
      </x:c>
      <x:c r="H371" s="45" t="n">
        <x:v>80</x:v>
      </x:c>
      <x:c r="I371" s="47" t="n">
        <x:v>1.214</x:v>
      </x:c>
      <x:c r="J371" s="49" t="n">
        <x:v>0</x:v>
      </x:c>
      <x:c r="K371" s="51" t="n">
        <x:v>97.12</x:v>
      </x:c>
      <x:c r="L371" s="55" t="n">
        <x:v>0.07</x:v>
      </x:c>
    </x:row>
    <x:row r="372">
      <x:c r="B372" s="37" t="str">
        <x:v>Factura 91311926</x:v>
      </x:c>
      <x:c r="C372" s="38" t="str">
        <x:v>Comercial Eléctrica Canarias, S.A.</x:v>
      </x:c>
      <x:c r="D372" s="38" t="str">
        <x:v>31/03/2026</x:v>
      </x:c>
      <x:c r="E372" s="38" t="str">
        <x:v>Albarán 131.512/013 (20/03/2026)</x:v>
      </x:c>
      <x:c r="F372" s="38" t="str">
        <x:v>GEW-GW44026 / 944026</x:v>
      </x:c>
      <x:c r="G372" s="38" t="str">
        <x:v>CAJA DERIV. 150x110x70 IP55</x:v>
      </x:c>
      <x:c r="H372" s="45" t="n">
        <x:v>2</x:v>
      </x:c>
      <x:c r="I372" s="47" t="n">
        <x:v>3.245</x:v>
      </x:c>
      <x:c r="J372" s="49" t="n">
        <x:v>0</x:v>
      </x:c>
      <x:c r="K372" s="51" t="n">
        <x:v>6.49</x:v>
      </x:c>
      <x:c r="L372" s="55" t="n">
        <x:v>0.07</x:v>
      </x:c>
    </x:row>
    <x:row r="373">
      <x:c r="B373" s="37" t="str">
        <x:v>Factura 91311926</x:v>
      </x:c>
      <x:c r="C373" s="38" t="str">
        <x:v>Comercial Eléctrica Canarias, S.A.</x:v>
      </x:c>
      <x:c r="D373" s="38" t="str">
        <x:v>31/03/2026</x:v>
      </x:c>
      <x:c r="E373" s="38" t="str">
        <x:v>Albarán 131.531/013 (23/03/2026)</x:v>
      </x:c>
      <x:c r="F373" s="38" t="str">
        <x:v>06122612R0 / 202026</x:v>
      </x:c>
      <x:c r="G373" s="38" t="str">
        <x:v>AUTOMATICO 1P+N 16A 6kA C</x:v>
      </x:c>
      <x:c r="H373" s="45" t="n">
        <x:v>4</x:v>
      </x:c>
      <x:c r="I373" s="47" t="n">
        <x:v>2.76</x:v>
      </x:c>
      <x:c r="J373" s="49" t="n">
        <x:v>0</x:v>
      </x:c>
      <x:c r="K373" s="51" t="n">
        <x:v>11.04</x:v>
      </x:c>
      <x:c r="L373" s="55" t="n">
        <x:v>0.07</x:v>
      </x:c>
    </x:row>
    <x:row r="374">
      <x:c r="B374" s="37" t="str">
        <x:v>Factura 91311926</x:v>
      </x:c>
      <x:c r="C374" s="38" t="str">
        <x:v>Comercial Eléctrica Canarias, S.A.</x:v>
      </x:c>
      <x:c r="D374" s="38" t="str">
        <x:v>31/03/2026</x:v>
      </x:c>
      <x:c r="E374" s="38" t="str">
        <x:v>Albarán 131.531/013 (23/03/2026)</x:v>
      </x:c>
      <x:c r="F374" s="38" t="str">
        <x:v>06122614R0 / 202028</x:v>
      </x:c>
      <x:c r="G374" s="38" t="str">
        <x:v>AUTOMATICO 1P+N 25A 6kA C</x:v>
      </x:c>
      <x:c r="H374" s="45" t="n">
        <x:v>1</x:v>
      </x:c>
      <x:c r="I374" s="47" t="n">
        <x:v>2.76</x:v>
      </x:c>
      <x:c r="J374" s="49" t="n">
        <x:v>0</x:v>
      </x:c>
      <x:c r="K374" s="51" t="n">
        <x:v>2.76</x:v>
      </x:c>
      <x:c r="L374" s="55" t="n">
        <x:v>0.07</x:v>
      </x:c>
    </x:row>
    <x:row r="375">
      <x:c r="B375" s="37" t="str">
        <x:v>Factura 91311926</x:v>
      </x:c>
      <x:c r="C375" s="38" t="str">
        <x:v>Comercial Eléctrica Canarias, S.A.</x:v>
      </x:c>
      <x:c r="D375" s="38" t="str">
        <x:v>31/03/2026</x:v>
      </x:c>
      <x:c r="E375" s="38" t="str">
        <x:v>Albarán 131.531/013 (23/03/2026)</x:v>
      </x:c>
      <x:c r="F375" s="38" t="str">
        <x:v>GEW-GW40045 / 940045</x:v>
      </x:c>
      <x:c r="G375" s="38" t="str">
        <x:v>CAJA S/P IP40 12M 1X12 P.TTE._</x:v>
      </x:c>
      <x:c r="H375" s="45" t="n">
        <x:v>1</x:v>
      </x:c>
      <x:c r="I375" s="47" t="n">
        <x:v>18.389</x:v>
      </x:c>
      <x:c r="J375" s="49" t="n">
        <x:v>0</x:v>
      </x:c>
      <x:c r="K375" s="51" t="n">
        <x:v>18.39</x:v>
      </x:c>
      <x:c r="L375" s="55" t="n">
        <x:v>0.07</x:v>
      </x:c>
    </x:row>
    <x:row r="376">
      <x:c r="B376" s="37" t="str">
        <x:v>Factura 91311926</x:v>
      </x:c>
      <x:c r="C376" s="38" t="str">
        <x:v>Comercial Eléctrica Canarias, S.A.</x:v>
      </x:c>
      <x:c r="D376" s="38" t="str">
        <x:v>31/03/2026</x:v>
      </x:c>
      <x:c r="E376" s="38" t="str">
        <x:v>Albarán 131.531/013 (23/03/2026)</x:v>
      </x:c>
      <x:c r="F376" s="38" t="str">
        <x:v>PEM-10011029 / 1268</x:v>
      </x:c>
      <x:c r="G376" s="38" t="str">
        <x:v>TUBO PVC FLEX.EXTER.PG29</x:v>
      </x:c>
      <x:c r="H376" s="45" t="n">
        <x:v>25</x:v>
      </x:c>
      <x:c r="I376" s="47" t="n">
        <x:v>1.89</x:v>
      </x:c>
      <x:c r="J376" s="49" t="n">
        <x:v>0</x:v>
      </x:c>
      <x:c r="K376" s="51" t="n">
        <x:v>47.25</x:v>
      </x:c>
      <x:c r="L376" s="55" t="n">
        <x:v>0.07</x:v>
      </x:c>
    </x:row>
    <x:row r="377">
      <x:c r="B377" s="37" t="str">
        <x:v>Factura 91311926</x:v>
      </x:c>
      <x:c r="C377" s="38" t="str">
        <x:v>Comercial Eléctrica Canarias, S.A.</x:v>
      </x:c>
      <x:c r="D377" s="38" t="str">
        <x:v>31/03/2026</x:v>
      </x:c>
      <x:c r="E377" s="38" t="str">
        <x:v>Albarán 131.531/013 (23/03/2026)</x:v>
      </x:c>
      <x:c r="F377" s="38" t="str">
        <x:v>BTH-TZeS231 / 626016</x:v>
      </x:c>
      <x:c r="G377" s="38" t="str">
        <x:v>CINTA SUPER ADHES.B/N 12mm 8Mt</x:v>
      </x:c>
      <x:c r="H377" s="45" t="n">
        <x:v>1</x:v>
      </x:c>
      <x:c r="I377" s="47" t="n">
        <x:v>19.95</x:v>
      </x:c>
      <x:c r="J377" s="49" t="n">
        <x:v>0</x:v>
      </x:c>
      <x:c r="K377" s="51" t="n">
        <x:v>19.95</x:v>
      </x:c>
      <x:c r="L377" s="55" t="n">
        <x:v>0.07</x:v>
      </x:c>
    </x:row>
    <x:row r="378">
      <x:c r="B378" s="37" t="str">
        <x:v>Factura 91311926</x:v>
      </x:c>
      <x:c r="C378" s="38" t="str">
        <x:v>Comercial Eléctrica Canarias, S.A.</x:v>
      </x:c>
      <x:c r="D378" s="38" t="str">
        <x:v>31/03/2026</x:v>
      </x:c>
      <x:c r="E378" s="38" t="str">
        <x:v>Albarán 131.545/013 (23/03/2026)</x:v>
      </x:c>
      <x:c r="F378" s="38" t="str">
        <x:v>CABLE / 5551477</x:v>
      </x:c>
      <x:c r="G378" s="38" t="str">
        <x:v>CABLE RZ1-K CPR 3G2.5 ROLLO</x:v>
      </x:c>
      <x:c r="H378" s="45" t="n">
        <x:v>100</x:v>
      </x:c>
      <x:c r="I378" s="47" t="n">
        <x:v>1.408</x:v>
      </x:c>
      <x:c r="J378" s="49" t="n">
        <x:v>0</x:v>
      </x:c>
      <x:c r="K378" s="51" t="n">
        <x:v>140.8</x:v>
      </x:c>
      <x:c r="L378" s="55" t="n">
        <x:v>0.07</x:v>
      </x:c>
    </x:row>
    <x:row r="379">
      <x:c r="B379" s="37" t="str">
        <x:v>Factura 91311926</x:v>
      </x:c>
      <x:c r="C379" s="38" t="str">
        <x:v>Comercial Eléctrica Canarias, S.A.</x:v>
      </x:c>
      <x:c r="D379" s="38" t="str">
        <x:v>31/03/2026</x:v>
      </x:c>
      <x:c r="E379" s="38" t="str">
        <x:v>Albarán 131.545/013 (23/03/2026)</x:v>
      </x:c>
      <x:c r="F379" s="38" t="str">
        <x:v>SOF-725110 / 16550</x:v>
      </x:c>
      <x:c r="G379" s="38" t="str">
        <x:v>SEÑAL TRIANG.RIESGO ADH.105mm</x:v>
      </x:c>
      <x:c r="H379" s="45" t="n">
        <x:v>1</x:v>
      </x:c>
      <x:c r="I379" s="47" t="n">
        <x:v>0.71</x:v>
      </x:c>
      <x:c r="J379" s="49" t="n">
        <x:v>0</x:v>
      </x:c>
      <x:c r="K379" s="51" t="n">
        <x:v>0.71</x:v>
      </x:c>
      <x:c r="L379" s="55" t="n">
        <x:v>0.07</x:v>
      </x:c>
    </x:row>
    <x:row r="380">
      <x:c r="B380" s="37" t="str">
        <x:v>Factura 91311926</x:v>
      </x:c>
      <x:c r="C380" s="38" t="str">
        <x:v>Comercial Eléctrica Canarias, S.A.</x:v>
      </x:c>
      <x:c r="D380" s="38" t="str">
        <x:v>31/03/2026</x:v>
      </x:c>
      <x:c r="E380" s="38" t="str">
        <x:v>Albarán 131.669/013 (30/03/2026)</x:v>
      </x:c>
      <x:c r="F380" s="38" t="str">
        <x:v>GEW-DX20040R / 9200408</x:v>
      </x:c>
      <x:c r="G380" s="38" t="str">
        <x:v>TUBO CORRU.L.H.34223 GRIS M40R</x:v>
      </x:c>
      <x:c r="H380" s="45" t="n">
        <x:v>50</x:v>
      </x:c>
      <x:c r="I380" s="47" t="n">
        <x:v>1.376</x:v>
      </x:c>
      <x:c r="J380" s="49" t="n">
        <x:v>0</x:v>
      </x:c>
      <x:c r="K380" s="51" t="n">
        <x:v>68.8</x:v>
      </x:c>
      <x:c r="L380" s="55" t="n">
        <x:v>0.03</x:v>
      </x:c>
    </x:row>
    <x:row r="381">
      <x:c r="B381" s="37" t="str">
        <x:v>Factura 91311926</x:v>
      </x:c>
      <x:c r="C381" s="38" t="str">
        <x:v>Comercial Eléctrica Canarias, S.A.</x:v>
      </x:c>
      <x:c r="D381" s="38" t="str">
        <x:v>31/03/2026</x:v>
      </x:c>
      <x:c r="E381" s="38" t="str">
        <x:v>Albarán 161.462/016 (18/03/2026)</x:v>
      </x:c>
      <x:c r="F381" s="38" t="str">
        <x:v>GEW-DX26332 / 9263329</x:v>
      </x:c>
      <x:c r="G381" s="38" t="str">
        <x:v>TUBO PVC RIG.L.H. RKHF 3M M32</x:v>
      </x:c>
      <x:c r="H381" s="45" t="n">
        <x:v>9</x:v>
      </x:c>
      <x:c r="I381" s="47" t="n">
        <x:v>2.44</x:v>
      </x:c>
      <x:c r="J381" s="49" t="n">
        <x:v>0</x:v>
      </x:c>
      <x:c r="K381" s="51" t="n">
        <x:v>21.96</x:v>
      </x:c>
      <x:c r="L381" s="55" t="n">
        <x:v>0.03</x:v>
      </x:c>
    </x:row>
    <x:row r="382">
      <x:c r="B382" s="37" t="str">
        <x:v>Factura 91311926</x:v>
      </x:c>
      <x:c r="C382" s="38" t="str">
        <x:v>Comercial Eléctrica Canarias, S.A.</x:v>
      </x:c>
      <x:c r="D382" s="38" t="str">
        <x:v>31/03/2026</x:v>
      </x:c>
      <x:c r="E382" s="38" t="str">
        <x:v>Albarán 161.462/016 (18/03/2026)</x:v>
      </x:c>
      <x:c r="F382" s="38" t="str">
        <x:v>GEW-DX40132 / 9401329</x:v>
      </x:c>
      <x:c r="G382" s="38" t="str">
        <x:v>CURVA RKS GRIS IP40 M32</x:v>
      </x:c>
      <x:c r="H382" s="45" t="n">
        <x:v>5</x:v>
      </x:c>
      <x:c r="I382" s="47" t="n">
        <x:v>1.728</x:v>
      </x:c>
      <x:c r="J382" s="49" t="n">
        <x:v>0</x:v>
      </x:c>
      <x:c r="K382" s="51" t="n">
        <x:v>8.64</x:v>
      </x:c>
      <x:c r="L382" s="55" t="n">
        <x:v>0.03</x:v>
      </x:c>
    </x:row>
    <x:row r="383">
      <x:c r="B383" s="37" t="str">
        <x:v>Factura 91311926</x:v>
      </x:c>
      <x:c r="C383" s="38" t="str">
        <x:v>Comercial Eléctrica Canarias, S.A.</x:v>
      </x:c>
      <x:c r="D383" s="38" t="str">
        <x:v>31/03/2026</x:v>
      </x:c>
      <x:c r="E383" s="38" t="str">
        <x:v>Albarán 161.462/016 (18/03/2026)</x:v>
      </x:c>
      <x:c r="F383" s="38" t="str">
        <x:v>GEW-DX40032 / 9400329</x:v>
      </x:c>
      <x:c r="G383" s="38" t="str">
        <x:v>MANGUITO RKM GRIS IP40 M32</x:v>
      </x:c>
      <x:c r="H383" s="45" t="n">
        <x:v>5</x:v>
      </x:c>
      <x:c r="I383" s="47" t="n">
        <x:v>0.506</x:v>
      </x:c>
      <x:c r="J383" s="49" t="n">
        <x:v>0</x:v>
      </x:c>
      <x:c r="K383" s="51" t="n">
        <x:v>2.53</x:v>
      </x:c>
      <x:c r="L383" s="55" t="n">
        <x:v>0.03</x:v>
      </x:c>
    </x:row>
    <x:row r="384">
      <x:c r="B384" s="37" t="str">
        <x:v>Factura 91311926</x:v>
      </x:c>
      <x:c r="C384" s="38" t="str">
        <x:v>Comercial Eléctrica Canarias, S.A.</x:v>
      </x:c>
      <x:c r="D384" s="38" t="str">
        <x:v>31/03/2026</x:v>
      </x:c>
      <x:c r="E384" s="38" t="str">
        <x:v>Albarán 161.462/016 (18/03/2026)</x:v>
      </x:c>
      <x:c r="F384" s="38" t="str">
        <x:v>OBO-2153734 / 4782</x:v>
      </x:c>
      <x:c r="G384" s="38" t="str">
        <x:v>ABRAZADERA M-QUICK GRIS M25-32</x:v>
      </x:c>
      <x:c r="H384" s="45" t="n">
        <x:v>15</x:v>
      </x:c>
      <x:c r="I384" s="47" t="n">
        <x:v>0.661</x:v>
      </x:c>
      <x:c r="J384" s="49" t="n">
        <x:v>0</x:v>
      </x:c>
      <x:c r="K384" s="51" t="n">
        <x:v>9.92</x:v>
      </x:c>
      <x:c r="L384" s="55" t="n">
        <x:v>0.03</x:v>
      </x:c>
    </x:row>
    <x:row r="385">
      <x:c r="B385" s="37" t="str">
        <x:v>Factura 91311926</x:v>
      </x:c>
      <x:c r="C385" s="38" t="str">
        <x:v>Comercial Eléctrica Canarias, S.A.</x:v>
      </x:c>
      <x:c r="D385" s="38" t="str">
        <x:v>31/03/2026</x:v>
      </x:c>
      <x:c r="E385" s="38" t="str">
        <x:v>Albarán 301.428/001 (24/03/2026)</x:v>
      </x:c>
      <x:c r="F385" s="38" t="str">
        <x:v>GEW-GW44024 / 944024</x:v>
      </x:c>
      <x:c r="G385" s="38" t="str">
        <x:v>CAJA DERIV.100x100x50 IP55</x:v>
      </x:c>
      <x:c r="H385" s="45" t="n">
        <x:v>3</x:v>
      </x:c>
      <x:c r="I385" s="47" t="n">
        <x:v>1.584</x:v>
      </x:c>
      <x:c r="J385" s="49" t="n">
        <x:v>0</x:v>
      </x:c>
      <x:c r="K385" s="51" t="n">
        <x:v>4.75</x:v>
      </x:c>
      <x:c r="L385" s="55" t="n">
        <x:v>0.07</x:v>
      </x:c>
    </x:row>
    <x:row r="386">
      <x:c r="B386" s="37" t="str">
        <x:v>Factura 91538226</x:v>
      </x:c>
      <x:c r="C386" s="38" t="str">
        <x:v>Comercial Eléctrica Canarias, S.A.</x:v>
      </x:c>
      <x:c r="D386" s="38" t="str">
        <x:v>15/04/2026</x:v>
      </x:c>
      <x:c r="E386" s="38" t="str">
        <x:v>Albarán 131.768/013 (07/04/2026)</x:v>
      </x:c>
      <x:c r="F386" s="38" t="str">
        <x:v>SOL-6625 / 866250</x:v>
      </x:c>
      <x:c r="G386" s="38" t="str">
        <x:v>CAJA ENLAZABLE UNIV.CUADRADA</x:v>
      </x:c>
      <x:c r="H386" s="45" t="n">
        <x:v>20</x:v>
      </x:c>
      <x:c r="I386" s="47" t="n">
        <x:v>0.165</x:v>
      </x:c>
      <x:c r="J386" s="49" t="n">
        <x:v>0</x:v>
      </x:c>
      <x:c r="K386" s="51" t="n">
        <x:v>3.3</x:v>
      </x:c>
      <x:c r="L386" s="55" t="n">
        <x:v>0.07</x:v>
      </x:c>
    </x:row>
    <x:row r="387">
      <x:c r="B387" s="37" t="str">
        <x:v>Factura 91538226</x:v>
      </x:c>
      <x:c r="C387" s="38" t="str">
        <x:v>Comercial Eléctrica Canarias, S.A.</x:v>
      </x:c>
      <x:c r="D387" s="38" t="str">
        <x:v>15/04/2026</x:v>
      </x:c>
      <x:c r="E387" s="38" t="str">
        <x:v>Albarán 131.922/013 (15/04/2026)</x:v>
      </x:c>
      <x:c r="F387" s="38" t="str">
        <x:v>CABLE / 5551446</x:v>
      </x:c>
      <x:c r="G387" s="38" t="str">
        <x:v>CABLE RZ1-K CPR 0.6/1KV 4G1.5</x:v>
      </x:c>
      <x:c r="H387" s="45" t="n">
        <x:v>50</x:v>
      </x:c>
      <x:c r="I387" s="47" t="n">
        <x:v>1.214</x:v>
      </x:c>
      <x:c r="J387" s="49" t="n">
        <x:v>0</x:v>
      </x:c>
      <x:c r="K387" s="51" t="n">
        <x:v>60.7</x:v>
      </x:c>
      <x:c r="L387" s="55" t="n">
        <x:v>0.07</x:v>
      </x:c>
    </x:row>
    <x:row r="388">
      <x:c r="B388" s="37" t="str">
        <x:v>Factura 91538226</x:v>
      </x:c>
      <x:c r="C388" s="38" t="str">
        <x:v>Comercial Eléctrica Canarias, S.A.</x:v>
      </x:c>
      <x:c r="D388" s="38" t="str">
        <x:v>15/04/2026</x:v>
      </x:c>
      <x:c r="E388" s="38" t="str">
        <x:v>Albarán 141.580/014 (01/04/2026)</x:v>
      </x:c>
      <x:c r="F388" s="38" t="str">
        <x:v>ELK-32516 / 232516</x:v>
      </x:c>
      <x:c r="G388" s="38" t="str">
        <x:v>PLAFON LD 12W D230 65K PLANO</x:v>
      </x:c>
      <x:c r="H388" s="45" t="n">
        <x:v>1</x:v>
      </x:c>
      <x:c r="I388" s="47" t="n">
        <x:v>9.95</x:v>
      </x:c>
      <x:c r="J388" s="49" t="n">
        <x:v>0</x:v>
      </x:c>
      <x:c r="K388" s="51" t="n">
        <x:v>10.03</x:v>
      </x:c>
      <x:c r="L388" s="55" t="n">
        <x:v>0.07</x:v>
      </x:c>
    </x:row>
    <x:row r="389">
      <x:c r="B389" s="37" t="str">
        <x:v>Factura 91538226</x:v>
      </x:c>
      <x:c r="C389" s="38" t="str">
        <x:v>Comercial Eléctrica Canarias, S.A.</x:v>
      </x:c>
      <x:c r="D389" s="38" t="str">
        <x:v>15/04/2026</x:v>
      </x:c>
      <x:c r="E389" s="38" t="str">
        <x:v>Albarán 141.580/014 (01/04/2026)</x:v>
      </x:c>
      <x:c r="F389" s="38" t="str">
        <x:v>ELK-38019 / 6607</x:v>
      </x:c>
      <x:c r="G389" s="38" t="str">
        <x:v>PILA 6LR61 9V BL1 ENERGY</x:v>
      </x:c>
      <x:c r="H389" s="45" t="n">
        <x:v>1</x:v>
      </x:c>
      <x:c r="I389" s="47" t="n">
        <x:v>2.326</x:v>
      </x:c>
      <x:c r="J389" s="49" t="n">
        <x:v>0</x:v>
      </x:c>
      <x:c r="K389" s="51" t="n">
        <x:v>2.34</x:v>
      </x:c>
      <x:c r="L389" s="55" t="n">
        <x:v>0.07</x:v>
      </x:c>
    </x:row>
    <x:row r="390">
      <x:c r="B390" s="37" t="str">
        <x:v>Factura 91538226</x:v>
      </x:c>
      <x:c r="C390" s="38" t="str">
        <x:v>Comercial Eléctrica Canarias, S.A.</x:v>
      </x:c>
      <x:c r="D390" s="38" t="str">
        <x:v>15/04/2026</x:v>
      </x:c>
      <x:c r="E390" s="38" t="str">
        <x:v>Albarán 301.786/001 (14/04/2026)</x:v>
      </x:c>
      <x:c r="F390" s="38" t="str">
        <x:v>GEW-GW48007PM / 9480071</x:v>
      </x:c>
      <x:c r="G390" s="38" t="str">
        <x:v>C.REGI.PT- 7 294X152X75 PLADUR</x:v>
      </x:c>
      <x:c r="H390" s="45" t="n">
        <x:v>1</x:v>
      </x:c>
      <x:c r="I390" s="47" t="n">
        <x:v>9.183</x:v>
      </x:c>
      <x:c r="J390" s="49" t="n">
        <x:v>0</x:v>
      </x:c>
      <x:c r="K390" s="51" t="n">
        <x:v>9.18</x:v>
      </x:c>
      <x:c r="L390" s="55" t="n">
        <x:v>0.07</x:v>
      </x:c>
    </x:row>
    <x:row r="391">
      <x:c r="B391" s="37" t="str">
        <x:v>Factura 90624926</x:v>
      </x:c>
      <x:c r="C391" s="38" t="str">
        <x:v>Comercial Eléctrica Canarias, S.A.</x:v>
      </x:c>
      <x:c r="D391" s="38" t="str">
        <x:v>15/02/2026</x:v>
      </x:c>
      <x:c r="E391" s="38" t="str">
        <x:v>Albarán 300.515/001 (04/02/2026)</x:v>
      </x:c>
      <x:c r="F391" s="38" t="str">
        <x:v>GEW-GW16128TB / 91612800</x:v>
      </x:c>
      <x:c r="G391" s="38" t="str">
        <x:v>PLACA ONE U 2+2+2+2H BLANCO TB</x:v>
      </x:c>
      <x:c r="H391" s="45" t="n">
        <x:v>1</x:v>
      </x:c>
      <x:c r="I391" s="47" t="n">
        <x:v>4.323</x:v>
      </x:c>
      <x:c r="J391" s="49" t="n">
        <x:v>0</x:v>
      </x:c>
      <x:c r="K391" s="51" t="n">
        <x:v>4.32</x:v>
      </x:c>
      <x:c r="L391" s="55" t="n">
        <x:v>0.07</x:v>
      </x:c>
    </x:row>
    <x:row r="392">
      <x:c r="B392" s="37" t="str">
        <x:v>Factura 90624926</x:v>
      </x:c>
      <x:c r="C392" s="38" t="str">
        <x:v>Comercial Eléctrica Canarias, S.A.</x:v>
      </x:c>
      <x:c r="D392" s="38" t="str">
        <x:v>15/02/2026</x:v>
      </x:c>
      <x:c r="E392" s="38" t="str">
        <x:v>Albarán 300.526/001 (04/02/2026)</x:v>
      </x:c>
      <x:c r="F392" s="38" t="str">
        <x:v>GEW-GW10423 / 910423</x:v>
      </x:c>
      <x:c r="G392" s="38" t="str">
        <x:v>BASE RJ45 UTP CAT. 6 1M BLANCO</x:v>
      </x:c>
      <x:c r="H392" s="45" t="n">
        <x:v>2</x:v>
      </x:c>
      <x:c r="I392" s="47" t="n">
        <x:v>8.922</x:v>
      </x:c>
      <x:c r="J392" s="49" t="n">
        <x:v>0</x:v>
      </x:c>
      <x:c r="K392" s="51" t="n">
        <x:v>17.84</x:v>
      </x:c>
      <x:c r="L392" s="55" t="n">
        <x:v>0.07</x:v>
      </x:c>
    </x:row>
    <x:row r="393">
      <x:c r="B393" s="37" t="str">
        <x:v>Factura 90624926</x:v>
      </x:c>
      <x:c r="C393" s="38" t="str">
        <x:v>Comercial Eléctrica Canarias, S.A.</x:v>
      </x:c>
      <x:c r="D393" s="38" t="str">
        <x:v>15/02/2026</x:v>
      </x:c>
      <x:c r="E393" s="38" t="str">
        <x:v>Albarán 300.526/001 (04/02/2026)</x:v>
      </x:c>
      <x:c r="F393" s="38" t="str">
        <x:v>GEW-GW16126TB / 91612600</x:v>
      </x:c>
      <x:c r="G393" s="38" t="str">
        <x:v>PLACA ONE U.2+2+2H H BLANCO TB</x:v>
      </x:c>
      <x:c r="H393" s="45" t="n">
        <x:v>1</x:v>
      </x:c>
      <x:c r="I393" s="47" t="n">
        <x:v>3.363</x:v>
      </x:c>
      <x:c r="J393" s="49" t="n">
        <x:v>0</x:v>
      </x:c>
      <x:c r="K393" s="51" t="n">
        <x:v>3.36</x:v>
      </x:c>
      <x:c r="L393" s="55" t="n">
        <x:v>0.07</x:v>
      </x:c>
    </x:row>
    <x:row r="394">
      <x:c r="B394" s="37" t="str">
        <x:v>Factura 90624926</x:v>
      </x:c>
      <x:c r="C394" s="38" t="str">
        <x:v>Comercial Eléctrica Canarias, S.A.</x:v>
      </x:c>
      <x:c r="D394" s="38" t="str">
        <x:v>15/02/2026</x:v>
      </x:c>
      <x:c r="E394" s="38" t="str">
        <x:v>Albarán 300.575/001 (06/02/2026)</x:v>
      </x:c>
      <x:c r="F394" s="38" t="str">
        <x:v>ESC-AS02112 / 7011001</x:v>
      </x:c>
      <x:c r="G394" s="38" t="str">
        <x:v>BOLSA AMORTIGUACION A-35 50K</x:v>
      </x:c>
      <x:c r="H394" s="45" t="n">
        <x:v>1</x:v>
      </x:c>
      <x:c r="I394" s="47" t="n">
        <x:v>1.8</x:v>
      </x:c>
      <x:c r="J394" s="49" t="n">
        <x:v>0</x:v>
      </x:c>
      <x:c r="K394" s="51" t="n">
        <x:v>1.8</x:v>
      </x:c>
      <x:c r="L394" s="55" t="n">
        <x:v>0.07</x:v>
      </x:c>
    </x:row>
    <x:row r="395">
      <x:c r="B395" s="37" t="str">
        <x:v>Factura 90624926</x:v>
      </x:c>
      <x:c r="C395" s="38" t="str">
        <x:v>Comercial Eléctrica Canarias, S.A.</x:v>
      </x:c>
      <x:c r="D395" s="38" t="str">
        <x:v>15/02/2026</x:v>
      </x:c>
      <x:c r="E395" s="38" t="str">
        <x:v>Albarán 300.575/001 (06/02/2026)</x:v>
      </x:c>
      <x:c r="F395" s="38" t="str">
        <x:v>EFA-10040 FBR / 72503</x:v>
      </x:c>
      <x:c r="G395" s="38" t="str">
        <x:v>CANAL ADHESIVO 32x16 por mts.</x:v>
      </x:c>
      <x:c r="H395" s="45" t="n">
        <x:v>16</x:v>
      </x:c>
      <x:c r="I395" s="47" t="n">
        <x:v>2.884</x:v>
      </x:c>
      <x:c r="J395" s="49" t="n">
        <x:v>0</x:v>
      </x:c>
      <x:c r="K395" s="51" t="n">
        <x:v>46.14</x:v>
      </x:c>
      <x:c r="L395" s="55" t="n">
        <x:v>0.03</x:v>
      </x:c>
    </x:row>
    <x:row r="396">
      <x:c r="B396" s="37" t="str">
        <x:v>Factura 90624926</x:v>
      </x:c>
      <x:c r="C396" s="38" t="str">
        <x:v>Comercial Eléctrica Canarias, S.A.</x:v>
      </x:c>
      <x:c r="D396" s="38" t="str">
        <x:v>15/02/2026</x:v>
      </x:c>
      <x:c r="E396" s="38" t="str">
        <x:v>Albarán 300.575/001 (06/02/2026)</x:v>
      </x:c>
      <x:c r="F396" s="38" t="str">
        <x:v>EFA-10046 ABR / 72573</x:v>
      </x:c>
      <x:c r="G396" s="38" t="str">
        <x:v>ANGULO EXTERIOR CANAL 32x16</x:v>
      </x:c>
      <x:c r="H396" s="45" t="n">
        <x:v>4</x:v>
      </x:c>
      <x:c r="I396" s="47" t="n">
        <x:v>0.791</x:v>
      </x:c>
      <x:c r="J396" s="49" t="n">
        <x:v>0</x:v>
      </x:c>
      <x:c r="K396" s="51" t="n">
        <x:v>3.16</x:v>
      </x:c>
      <x:c r="L396" s="55" t="n">
        <x:v>0.03</x:v>
      </x:c>
    </x:row>
    <x:row r="397">
      <x:c r="B397" s="37" t="str">
        <x:v>Factura 90624926</x:v>
      </x:c>
      <x:c r="C397" s="38" t="str">
        <x:v>Comercial Eléctrica Canarias, S.A.</x:v>
      </x:c>
      <x:c r="D397" s="38" t="str">
        <x:v>15/02/2026</x:v>
      </x:c>
      <x:c r="E397" s="38" t="str">
        <x:v>Albarán 300.575/001 (06/02/2026)</x:v>
      </x:c>
      <x:c r="F397" s="38" t="str">
        <x:v>EFA-10042 ABR / 72533</x:v>
      </x:c>
      <x:c r="G397" s="38" t="str">
        <x:v>ANGULO INTERIOR CANAL 32x16</x:v>
      </x:c>
      <x:c r="H397" s="45" t="n">
        <x:v>2</x:v>
      </x:c>
      <x:c r="I397" s="47" t="n">
        <x:v>0.791</x:v>
      </x:c>
      <x:c r="J397" s="49" t="n">
        <x:v>0</x:v>
      </x:c>
      <x:c r="K397" s="51" t="n">
        <x:v>1.58</x:v>
      </x:c>
      <x:c r="L397" s="55" t="n">
        <x:v>0.03</x:v>
      </x:c>
    </x:row>
    <x:row r="398">
      <x:c r="B398" s="37" t="str">
        <x:v>Factura 90624926</x:v>
      </x:c>
      <x:c r="C398" s="38" t="str">
        <x:v>Comercial Eléctrica Canarias, S.A.</x:v>
      </x:c>
      <x:c r="D398" s="38" t="str">
        <x:v>15/02/2026</x:v>
      </x:c>
      <x:c r="E398" s="38" t="str">
        <x:v>Albarán 300.575/001 (06/02/2026)</x:v>
      </x:c>
      <x:c r="F398" s="38" t="str">
        <x:v>EFA-10043 ABR / 72543</x:v>
      </x:c>
      <x:c r="G398" s="38" t="str">
        <x:v>ANGULO PLANO CANAL 32x16</x:v>
      </x:c>
      <x:c r="H398" s="45" t="n">
        <x:v>4</x:v>
      </x:c>
      <x:c r="I398" s="47" t="n">
        <x:v>0.791</x:v>
      </x:c>
      <x:c r="J398" s="49" t="n">
        <x:v>0</x:v>
      </x:c>
      <x:c r="K398" s="51" t="n">
        <x:v>3.16</x:v>
      </x:c>
      <x:c r="L398" s="55" t="n">
        <x:v>0.03</x:v>
      </x:c>
    </x:row>
    <x:row r="399">
      <x:c r="B399" s="37" t="str">
        <x:v>Factura 90161426</x:v>
      </x:c>
      <x:c r="C399" s="38" t="str">
        <x:v>Comercial Eléctrica Canarias, S.A.</x:v>
      </x:c>
      <x:c r="D399" s="38" t="str">
        <x:v>15/01/2026</x:v>
      </x:c>
      <x:c r="E399" s="38" t="str">
        <x:v>Albarán 120.043/012 (07/01/2026)</x:v>
      </x:c>
      <x:c r="F399" s="38" t="str">
        <x:v>ELK-38627 / 6667</x:v>
      </x:c>
      <x:c r="G399" s="38" t="str">
        <x:v>PILA CR2 3V VARTA</x:v>
      </x:c>
      <x:c r="H399" s="45" t="n">
        <x:v>1</x:v>
      </x:c>
      <x:c r="I399" s="47" t="n">
        <x:v>3.495</x:v>
      </x:c>
      <x:c r="J399" s="49" t="n">
        <x:v>0</x:v>
      </x:c>
      <x:c r="K399" s="51" t="n">
        <x:v>3.51</x:v>
      </x:c>
      <x:c r="L399" s="55" t="n">
        <x:v>0.07</x:v>
      </x:c>
    </x:row>
    <x:row r="400">
      <x:c r="B400" s="37" t="str">
        <x:v>Factura 90161426</x:v>
      </x:c>
      <x:c r="C400" s="38" t="str">
        <x:v>Comercial Eléctrica Canarias, S.A.</x:v>
      </x:c>
      <x:c r="D400" s="38" t="str">
        <x:v>15/01/2026</x:v>
      </x:c>
      <x:c r="E400" s="38" t="str">
        <x:v>Albarán 130.063/013 (08/01/2026)</x:v>
      </x:c>
      <x:c r="F400" s="38" t="str">
        <x:v>CABLE / 5551446</x:v>
      </x:c>
      <x:c r="G400" s="38" t="str">
        <x:v>CABLE RZ1-K CPR 0.6/1KV 4G1.5</x:v>
      </x:c>
      <x:c r="H400" s="45" t="n">
        <x:v>60</x:v>
      </x:c>
      <x:c r="I400" s="47" t="n">
        <x:v>1.129</x:v>
      </x:c>
      <x:c r="J400" s="49" t="n">
        <x:v>0</x:v>
      </x:c>
      <x:c r="K400" s="51" t="n">
        <x:v>67.74</x:v>
      </x:c>
      <x:c r="L400" s="55" t="n">
        <x:v>0.07</x:v>
      </x:c>
    </x:row>
    <x:row r="401">
      <x:c r="B401" s="37" t="str">
        <x:v>Factura 90161426</x:v>
      </x:c>
      <x:c r="C401" s="38" t="str">
        <x:v>Comercial Eléctrica Canarias, S.A.</x:v>
      </x:c>
      <x:c r="D401" s="38" t="str">
        <x:v>15/01/2026</x:v>
      </x:c>
      <x:c r="E401" s="38" t="str">
        <x:v>Albarán 130.085/013 (09/01/2026)</x:v>
      </x:c>
      <x:c r="F401" s="38" t="str">
        <x:v>XIN-SEKKYUR C / 33006</x:v>
      </x:c>
      <x:c r="G401" s="38" t="str">
        <x:v>DETECTOR MOV.SUPERF.360°</x:v>
      </x:c>
      <x:c r="H401" s="45" t="n">
        <x:v>12</x:v>
      </x:c>
      <x:c r="I401" s="47" t="n">
        <x:v>9.673</x:v>
      </x:c>
      <x:c r="J401" s="49" t="n">
        <x:v>0</x:v>
      </x:c>
      <x:c r="K401" s="51" t="n">
        <x:v>116.08</x:v>
      </x:c>
      <x:c r="L401" s="55" t="n">
        <x:v>0.07</x:v>
      </x:c>
    </x:row>
    <x:row r="402">
      <x:c r="B402" s="37" t="str">
        <x:v>Factura 90161426</x:v>
      </x:c>
      <x:c r="C402" s="38" t="str">
        <x:v>Comercial Eléctrica Canarias, S.A.</x:v>
      </x:c>
      <x:c r="D402" s="38" t="str">
        <x:v>15/01/2026</x:v>
      </x:c>
      <x:c r="E402" s="38" t="str">
        <x:v>Albarán 130.085/013 (09/01/2026)</x:v>
      </x:c>
      <x:c r="F402" s="38" t="str">
        <x:v>PLY-5538 / 3088</x:v>
      </x:c>
      <x:c r="G402" s="38" t="str">
        <x:v>CINTA AISLANTE N10 33x25 BLANC</x:v>
      </x:c>
      <x:c r="H402" s="45" t="n">
        <x:v>2</x:v>
      </x:c>
      <x:c r="I402" s="47" t="n">
        <x:v>2.18</x:v>
      </x:c>
      <x:c r="J402" s="49" t="n">
        <x:v>0</x:v>
      </x:c>
      <x:c r="K402" s="51" t="n">
        <x:v>4.36</x:v>
      </x:c>
      <x:c r="L402" s="55" t="n">
        <x:v>0.03</x:v>
      </x:c>
    </x:row>
    <x:row r="403">
      <x:c r="B403" s="37" t="str">
        <x:v>Factura 90161426</x:v>
      </x:c>
      <x:c r="C403" s="38" t="str">
        <x:v>Comercial Eléctrica Canarias, S.A.</x:v>
      </x:c>
      <x:c r="D403" s="38" t="str">
        <x:v>15/01/2026</x:v>
      </x:c>
      <x:c r="E403" s="38" t="str">
        <x:v>Albarán 130.085/013 (09/01/2026)</x:v>
      </x:c>
      <x:c r="F403" s="38" t="str">
        <x:v>GEW-GW16502 / 916502</x:v>
      </x:c>
      <x:c r="G403" s="38" t="str">
        <x:v>CAJA S/PARED 2 MOD IP40</x:v>
      </x:c>
      <x:c r="H403" s="45" t="n">
        <x:v>1</x:v>
      </x:c>
      <x:c r="I403" s="47" t="n">
        <x:v>1.75</x:v>
      </x:c>
      <x:c r="J403" s="49" t="n">
        <x:v>0</x:v>
      </x:c>
      <x:c r="K403" s="51" t="n">
        <x:v>1.75</x:v>
      </x:c>
      <x:c r="L403" s="55" t="n">
        <x:v>0.07</x:v>
      </x:c>
    </x:row>
    <x:row r="404">
      <x:c r="B404" s="37" t="str">
        <x:v>Factura 90161426</x:v>
      </x:c>
      <x:c r="C404" s="38" t="str">
        <x:v>Comercial Eléctrica Canarias, S.A.</x:v>
      </x:c>
      <x:c r="D404" s="38" t="str">
        <x:v>15/01/2026</x:v>
      </x:c>
      <x:c r="E404" s="38" t="str">
        <x:v>Albarán 130.085/013 (09/01/2026)</x:v>
      </x:c>
      <x:c r="F404" s="38" t="str">
        <x:v>GEW-GW10160F / 910160</x:v>
      </x:c>
      <x:c r="G404" s="38" t="str">
        <x:v>DOBLE PULS. 1P 1NA 16A.</x:v>
      </x:c>
      <x:c r="H404" s="45" t="n">
        <x:v>1</x:v>
      </x:c>
      <x:c r="I404" s="47" t="n">
        <x:v>9.826</x:v>
      </x:c>
      <x:c r="J404" s="49" t="n">
        <x:v>0</x:v>
      </x:c>
      <x:c r="K404" s="51" t="n">
        <x:v>9.83</x:v>
      </x:c>
      <x:c r="L404" s="55" t="n">
        <x:v>0.07</x:v>
      </x:c>
    </x:row>
    <x:row r="405">
      <x:c r="B405" s="37" t="str">
        <x:v>Factura 90161426</x:v>
      </x:c>
      <x:c r="C405" s="38" t="str">
        <x:v>Comercial Eléctrica Canarias, S.A.</x:v>
      </x:c>
      <x:c r="D405" s="38" t="str">
        <x:v>15/01/2026</x:v>
      </x:c>
      <x:c r="E405" s="38" t="str">
        <x:v>Albarán 130.085/013 (09/01/2026)</x:v>
      </x:c>
      <x:c r="F405" s="38" t="str">
        <x:v>LEG-375011 / 80316</x:v>
      </x:c>
      <x:c r="G405" s="38" t="str">
        <x:v>PORTERO A1 1Viv.CONVENCIONAL</x:v>
      </x:c>
      <x:c r="H405" s="45" t="n">
        <x:v>1</x:v>
      </x:c>
      <x:c r="I405" s="47" t="n">
        <x:v>47.895</x:v>
      </x:c>
      <x:c r="J405" s="49" t="n">
        <x:v>0</x:v>
      </x:c>
      <x:c r="K405" s="51" t="n">
        <x:v>47.9</x:v>
      </x:c>
      <x:c r="L405" s="55" t="n">
        <x:v>0.07</x:v>
      </x:c>
    </x:row>
    <x:row r="406">
      <x:c r="B406" s="37" t="str">
        <x:v>Factura 90161426</x:v>
      </x:c>
      <x:c r="C406" s="38" t="str">
        <x:v>Comercial Eléctrica Canarias, S.A.</x:v>
      </x:c>
      <x:c r="D406" s="38" t="str">
        <x:v>15/01/2026</x:v>
      </x:c>
      <x:c r="E406" s="38" t="str">
        <x:v>Albarán 160.133/016 (12/01/2026) NUM.VALE CRISTO</x:v>
      </x:c>
      <x:c r="F406" s="38" t="str">
        <x:v>DES-14020014 / 46016</x:v>
      </x:c>
      <x:c r="G406" s="38" t="str">
        <x:v>TACO BRIDA M8 NEGRO</x:v>
      </x:c>
      <x:c r="H406" s="45" t="n">
        <x:v>100</x:v>
      </x:c>
      <x:c r="I406" s="47" t="n">
        <x:v>0.038</x:v>
      </x:c>
      <x:c r="J406" s="49" t="n">
        <x:v>0</x:v>
      </x:c>
      <x:c r="K406" s="51" t="n">
        <x:v>3.8</x:v>
      </x:c>
      <x:c r="L406" s="55" t="n">
        <x:v>0.03</x:v>
      </x:c>
    </x:row>
    <x:row r="407">
      <x:c r="B407" s="37" t="str">
        <x:v>Factura 90161426</x:v>
      </x:c>
      <x:c r="C407" s="38" t="str">
        <x:v>Comercial Eléctrica Canarias, S.A.</x:v>
      </x:c>
      <x:c r="D407" s="38" t="str">
        <x:v>15/01/2026</x:v>
      </x:c>
      <x:c r="E407" s="38" t="str">
        <x:v>Albarán 160.233/016 (15/01/2026)</x:v>
      </x:c>
      <x:c r="F407" s="38" t="str">
        <x:v>GEW-GW44026 / 944026</x:v>
      </x:c>
      <x:c r="G407" s="38" t="str">
        <x:v>CAJA DERIV. 150x110x70 IP55</x:v>
      </x:c>
      <x:c r="H407" s="45" t="n">
        <x:v>1</x:v>
      </x:c>
      <x:c r="I407" s="47" t="n">
        <x:v>3.245</x:v>
      </x:c>
      <x:c r="J407" s="49" t="n">
        <x:v>0</x:v>
      </x:c>
      <x:c r="K407" s="51" t="n">
        <x:v>3.25</x:v>
      </x:c>
      <x:c r="L407" s="55" t="n">
        <x:v>0.07</x:v>
      </x:c>
    </x:row>
    <x:row r="408">
      <x:c r="B408" s="37" t="str">
        <x:v>Factura 90161426</x:v>
      </x:c>
      <x:c r="C408" s="38" t="str">
        <x:v>Comercial Eléctrica Canarias, S.A.</x:v>
      </x:c>
      <x:c r="D408" s="38" t="str">
        <x:v>15/01/2026</x:v>
      </x:c>
      <x:c r="E408" s="38" t="str">
        <x:v>Albarán 160.233/016 (15/01/2026)</x:v>
      </x:c>
      <x:c r="F408" s="38" t="str">
        <x:v>TEK-135 / 11755</x:v>
      </x:c>
      <x:c r="G408" s="38" t="str">
        <x:v>BORNA CONEX.BLAN.12P 25-35mm</x:v>
      </x:c>
      <x:c r="H408" s="45" t="n">
        <x:v>1</x:v>
      </x:c>
      <x:c r="I408" s="47" t="n">
        <x:v>6.793</x:v>
      </x:c>
      <x:c r="J408" s="49" t="n">
        <x:v>0</x:v>
      </x:c>
      <x:c r="K408" s="51" t="n">
        <x:v>6.79</x:v>
      </x:c>
      <x:c r="L408" s="55" t="n">
        <x:v>0.07</x:v>
      </x:c>
    </x:row>
    <x:row r="409">
      <x:c r="B409" s="37" t="str">
        <x:v>Factura 92743225</x:v>
      </x:c>
      <x:c r="C409" s="38" t="str">
        <x:v>Comercial Eléctrica Canarias, S.A.</x:v>
      </x:c>
      <x:c r="D409" s="38" t="str">
        <x:v>15/07/2025</x:v>
      </x:c>
      <x:c r="E409" s="38" t="str">
        <x:v>Albarán 133.080/013 (02/07/2025)</x:v>
      </x:c>
      <x:c r="F409" s="38" t="str">
        <x:v>06122612R0 / 202026</x:v>
      </x:c>
      <x:c r="G409" s="38" t="str">
        <x:v>AUTOMATICO 1P+N 16A 6kA C</x:v>
      </x:c>
      <x:c r="H409" s="45" t="n">
        <x:v>1</x:v>
      </x:c>
      <x:c r="I409" s="47" t="n">
        <x:v>2.76</x:v>
      </x:c>
      <x:c r="J409" s="49" t="n">
        <x:v>0</x:v>
      </x:c>
      <x:c r="K409" s="51" t="n">
        <x:v>2.76</x:v>
      </x:c>
      <x:c r="L409" s="55" t="n">
        <x:v>0.07</x:v>
      </x:c>
    </x:row>
    <x:row r="410">
      <x:c r="B410" s="37" t="str">
        <x:v>Factura 92743225</x:v>
      </x:c>
      <x:c r="C410" s="38" t="str">
        <x:v>Comercial Eléctrica Canarias, S.A.</x:v>
      </x:c>
      <x:c r="D410" s="38" t="str">
        <x:v>15/07/2025</x:v>
      </x:c>
      <x:c r="E410" s="38" t="str">
        <x:v>Albarán 133.080/013 (02/07/2025)</x:v>
      </x:c>
      <x:c r="F410" s="38" t="str">
        <x:v>06220109R0 / 202000</x:v>
      </x:c>
      <x:c r="G410" s="38" t="str">
        <x:v>DIFERENCIAL 2P 40A 30mA AC</x:v>
      </x:c>
      <x:c r="H410" s="45" t="n">
        <x:v>3</x:v>
      </x:c>
      <x:c r="I410" s="47" t="n">
        <x:v>12.12</x:v>
      </x:c>
      <x:c r="J410" s="49" t="n">
        <x:v>0</x:v>
      </x:c>
      <x:c r="K410" s="51" t="n">
        <x:v>36.36</x:v>
      </x:c>
      <x:c r="L410" s="55" t="n">
        <x:v>0.07</x:v>
      </x:c>
    </x:row>
    <x:row r="411">
      <x:c r="B411" s="37" t="str">
        <x:v>Factura 92743225</x:v>
      </x:c>
      <x:c r="C411" s="38" t="str">
        <x:v>Comercial Eléctrica Canarias, S.A.</x:v>
      </x:c>
      <x:c r="D411" s="38" t="str">
        <x:v>15/07/2025</x:v>
      </x:c>
      <x:c r="E411" s="38" t="str">
        <x:v>Albarán 133.080/013 (02/07/2025)</x:v>
      </x:c>
      <x:c r="F411" s="38" t="str">
        <x:v>GEW-DX43520 / 9435209</x:v>
      </x:c>
      <x:c r="G411" s="38" t="str">
        <x:v>CURVA FLEX TUBO/TUBO IP65 M20</x:v>
      </x:c>
      <x:c r="H411" s="45" t="n">
        <x:v>4</x:v>
      </x:c>
      <x:c r="I411" s="47" t="n">
        <x:v>3.043</x:v>
      </x:c>
      <x:c r="J411" s="49" t="n">
        <x:v>0</x:v>
      </x:c>
      <x:c r="K411" s="51" t="n">
        <x:v>12.17</x:v>
      </x:c>
      <x:c r="L411" s="55" t="n">
        <x:v>0.03</x:v>
      </x:c>
    </x:row>
    <x:row r="412">
      <x:c r="B412" s="37" t="str">
        <x:v>Factura 92743225</x:v>
      </x:c>
      <x:c r="C412" s="38" t="str">
        <x:v>Comercial Eléctrica Canarias, S.A.</x:v>
      </x:c>
      <x:c r="D412" s="38" t="str">
        <x:v>15/07/2025</x:v>
      </x:c>
      <x:c r="E412" s="38" t="str">
        <x:v>Albarán 133.080/013 (02/07/2025)</x:v>
      </x:c>
      <x:c r="F412" s="38" t="str">
        <x:v>OBO-2153718 / 4780</x:v>
      </x:c>
      <x:c r="G412" s="38" t="str">
        <x:v>ABRAZADERA M-QUICK GRIS M16-20</x:v>
      </x:c>
      <x:c r="H412" s="45" t="n">
        <x:v>20</x:v>
      </x:c>
      <x:c r="I412" s="47" t="n">
        <x:v>0.298</x:v>
      </x:c>
      <x:c r="J412" s="49" t="n">
        <x:v>0</x:v>
      </x:c>
      <x:c r="K412" s="51" t="n">
        <x:v>5.96</x:v>
      </x:c>
      <x:c r="L412" s="55" t="n">
        <x:v>0.03</x:v>
      </x:c>
    </x:row>
    <x:row r="413">
      <x:c r="B413" s="37" t="str">
        <x:v>Factura 92743225</x:v>
      </x:c>
      <x:c r="C413" s="38" t="str">
        <x:v>Comercial Eléctrica Canarias, S.A.</x:v>
      </x:c>
      <x:c r="D413" s="38" t="str">
        <x:v>15/07/2025</x:v>
      </x:c>
      <x:c r="E413" s="38" t="str">
        <x:v>Albarán 133.080/013 (02/07/2025)</x:v>
      </x:c>
      <x:c r="F413" s="38" t="str">
        <x:v>GEW-GW44024 / 944024</x:v>
      </x:c>
      <x:c r="G413" s="38" t="str">
        <x:v>CAJA DERIV.100x100x50 IP55</x:v>
      </x:c>
      <x:c r="H413" s="45" t="n">
        <x:v>1</x:v>
      </x:c>
      <x:c r="I413" s="47" t="n">
        <x:v>1.584</x:v>
      </x:c>
      <x:c r="J413" s="49" t="n">
        <x:v>0</x:v>
      </x:c>
      <x:c r="K413" s="51" t="n">
        <x:v>1.58</x:v>
      </x:c>
      <x:c r="L413" s="55" t="n">
        <x:v>0.07</x:v>
      </x:c>
    </x:row>
    <x:row r="414">
      <x:c r="B414" s="37" t="str">
        <x:v>Factura 92743225</x:v>
      </x:c>
      <x:c r="C414" s="38" t="str">
        <x:v>Comercial Eléctrica Canarias, S.A.</x:v>
      </x:c>
      <x:c r="D414" s="38" t="str">
        <x:v>15/07/2025</x:v>
      </x:c>
      <x:c r="E414" s="38" t="str">
        <x:v>Albarán 133.080/013 (02/07/2025)</x:v>
      </x:c>
      <x:c r="F414" s="38" t="str">
        <x:v>CABLE / 555172</x:v>
      </x:c>
      <x:c r="G414" s="38" t="str">
        <x:v>CABLE H07Z1-K CPR 1X6 NEGRO</x:v>
      </x:c>
      <x:c r="H414" s="45" t="n">
        <x:v>1</x:v>
      </x:c>
      <x:c r="I414" s="47" t="n">
        <x:v>0.725</x:v>
      </x:c>
      <x:c r="J414" s="49" t="n">
        <x:v>0</x:v>
      </x:c>
      <x:c r="K414" s="51" t="n">
        <x:v>0.73</x:v>
      </x:c>
      <x:c r="L414" s="55" t="n">
        <x:v>0.07</x:v>
      </x:c>
    </x:row>
    <x:row r="415">
      <x:c r="B415" s="37" t="str">
        <x:v>Factura 92743225</x:v>
      </x:c>
      <x:c r="C415" s="38" t="str">
        <x:v>Comercial Eléctrica Canarias, S.A.</x:v>
      </x:c>
      <x:c r="D415" s="38" t="str">
        <x:v>15/07/2025</x:v>
      </x:c>
      <x:c r="E415" s="38" t="str">
        <x:v>Albarán 133.080/013 (02/07/2025)</x:v>
      </x:c>
      <x:c r="F415" s="38" t="str">
        <x:v>CABLE / 555173</x:v>
      </x:c>
      <x:c r="G415" s="38" t="str">
        <x:v>CABLE H07Z1-K CPR 1X6 MARRON</x:v>
      </x:c>
      <x:c r="H415" s="45" t="n">
        <x:v>1</x:v>
      </x:c>
      <x:c r="I415" s="47" t="n">
        <x:v>0.725</x:v>
      </x:c>
      <x:c r="J415" s="49" t="n">
        <x:v>0</x:v>
      </x:c>
      <x:c r="K415" s="51" t="n">
        <x:v>0.73</x:v>
      </x:c>
      <x:c r="L415" s="55" t="n">
        <x:v>0.07</x:v>
      </x:c>
    </x:row>
    <x:row r="416">
      <x:c r="B416" s="37" t="str">
        <x:v>Factura 92743225</x:v>
      </x:c>
      <x:c r="C416" s="38" t="str">
        <x:v>Comercial Eléctrica Canarias, S.A.</x:v>
      </x:c>
      <x:c r="D416" s="38" t="str">
        <x:v>15/07/2025</x:v>
      </x:c>
      <x:c r="E416" s="38" t="str">
        <x:v>Albarán 133.082/013 (02/07/2025)</x:v>
      </x:c>
      <x:c r="F416" s="38" t="str">
        <x:v>CABLE / 5551477</x:v>
      </x:c>
      <x:c r="G416" s="38" t="str">
        <x:v>CABLE RZ1-K CPR 3G2.5 ROLLO</x:v>
      </x:c>
      <x:c r="H416" s="45" t="n">
        <x:v>16</x:v>
      </x:c>
      <x:c r="I416" s="47" t="n">
        <x:v>1.315</x:v>
      </x:c>
      <x:c r="J416" s="49" t="n">
        <x:v>0</x:v>
      </x:c>
      <x:c r="K416" s="51" t="n">
        <x:v>21.04</x:v>
      </x:c>
      <x:c r="L416" s="55" t="n">
        <x:v>0.07</x:v>
      </x:c>
    </x:row>
    <x:row r="417">
      <x:c r="B417" s="37" t="str">
        <x:v>Factura 92743225</x:v>
      </x:c>
      <x:c r="C417" s="38" t="str">
        <x:v>Comercial Eléctrica Canarias, S.A.</x:v>
      </x:c>
      <x:c r="D417" s="38" t="str">
        <x:v>15/07/2025</x:v>
      </x:c>
      <x:c r="E417" s="38" t="str">
        <x:v>Albarán 133.082/013 (02/07/2025)</x:v>
      </x:c>
      <x:c r="F417" s="38" t="str">
        <x:v>D1L0110823. / 202376</x:v>
      </x:c>
      <x:c r="G417" s="38" t="str">
        <x:v>DPN 1MOD. 1P+N 16A C 6KA</x:v>
      </x:c>
      <x:c r="H417" s="45" t="n">
        <x:v>1</x:v>
      </x:c>
      <x:c r="I417" s="47" t="n">
        <x:v>6.44</x:v>
      </x:c>
      <x:c r="J417" s="49" t="n">
        <x:v>0</x:v>
      </x:c>
      <x:c r="K417" s="51" t="n">
        <x:v>6.44</x:v>
      </x:c>
      <x:c r="L417" s="55" t="n">
        <x:v>0.07</x:v>
      </x:c>
    </x:row>
    <x:row r="418">
      <x:c r="B418" s="37" t="str">
        <x:v>Factura 92743225</x:v>
      </x:c>
      <x:c r="C418" s="38" t="str">
        <x:v>Comercial Eléctrica Canarias, S.A.</x:v>
      </x:c>
      <x:c r="D418" s="38" t="str">
        <x:v>15/07/2025</x:v>
      </x:c>
      <x:c r="E418" s="38" t="str">
        <x:v>Albarán 133.217/013 (09/07/2025)</x:v>
      </x:c>
      <x:c r="F418" s="38" t="str">
        <x:v>XIN-SEKKYUR C / 33006</x:v>
      </x:c>
      <x:c r="G418" s="38" t="str">
        <x:v>DETECTOR MOV.SUPERF.360°</x:v>
      </x:c>
      <x:c r="H418" s="45" t="n">
        <x:v>8</x:v>
      </x:c>
      <x:c r="I418" s="47" t="n">
        <x:v>9.673</x:v>
      </x:c>
      <x:c r="J418" s="49" t="n">
        <x:v>0</x:v>
      </x:c>
      <x:c r="K418" s="51" t="n">
        <x:v>77.38</x:v>
      </x:c>
      <x:c r="L418" s="55" t="n">
        <x:v>0.07</x:v>
      </x:c>
    </x:row>
    <x:row r="419">
      <x:c r="B419" s="37" t="str">
        <x:v>Factura 92743225</x:v>
      </x:c>
      <x:c r="C419" s="38" t="str">
        <x:v>Comercial Eléctrica Canarias, S.A.</x:v>
      </x:c>
      <x:c r="D419" s="38" t="str">
        <x:v>15/07/2025</x:v>
      </x:c>
      <x:c r="E419" s="38" t="str">
        <x:v>Albarán 303.539/001 (03/07/2025)</x:v>
      </x:c>
      <x:c r="F419" s="38" t="str">
        <x:v>CAN-80100025 / 366</x:v>
      </x:c>
      <x:c r="G419" s="38" t="str">
        <x:v>TUBO REFLEX M25</x:v>
      </x:c>
      <x:c r="H419" s="45" t="n">
        <x:v>100</x:v>
      </x:c>
      <x:c r="I419" s="47" t="n">
        <x:v>0.257</x:v>
      </x:c>
      <x:c r="J419" s="49" t="n">
        <x:v>0</x:v>
      </x:c>
      <x:c r="K419" s="51" t="n">
        <x:v>25.7</x:v>
      </x:c>
      <x:c r="L419" s="55" t="n">
        <x:v>0.03</x:v>
      </x:c>
    </x:row>
    <x:row r="420">
      <x:c r="B420" s="37" t="str">
        <x:v>Factura 92743225</x:v>
      </x:c>
      <x:c r="C420" s="38" t="str">
        <x:v>Comercial Eléctrica Canarias, S.A.</x:v>
      </x:c>
      <x:c r="D420" s="38" t="str">
        <x:v>15/07/2025</x:v>
      </x:c>
      <x:c r="E420" s="38" t="str">
        <x:v>Albarán 303.539/001 (03/07/2025)</x:v>
      </x:c>
      <x:c r="F420" s="38" t="str">
        <x:v>CABLE / 89555160</x:v>
      </x:c>
      <x:c r="G420" s="38" t="str">
        <x:v>CABLE 07Z1K CPR 1X1.5 AZ 100MT</x:v>
      </x:c>
      <x:c r="H420" s="45" t="n">
        <x:v>100</x:v>
      </x:c>
      <x:c r="I420" s="47" t="n">
        <x:v>0.198</x:v>
      </x:c>
      <x:c r="J420" s="49" t="n">
        <x:v>0</x:v>
      </x:c>
      <x:c r="K420" s="51" t="n">
        <x:v>19.8</x:v>
      </x:c>
      <x:c r="L420" s="55" t="n">
        <x:v>0.07</x:v>
      </x:c>
    </x:row>
    <x:row r="421">
      <x:c r="B421" s="37" t="str">
        <x:v>Factura 92743225</x:v>
      </x:c>
      <x:c r="C421" s="38" t="str">
        <x:v>Comercial Eléctrica Canarias, S.A.</x:v>
      </x:c>
      <x:c r="D421" s="38" t="str">
        <x:v>15/07/2025</x:v>
      </x:c>
      <x:c r="E421" s="38" t="str">
        <x:v>Albarán 303.539/001 (03/07/2025)</x:v>
      </x:c>
      <x:c r="F421" s="38" t="str">
        <x:v>PLY-5538 / 3088</x:v>
      </x:c>
      <x:c r="G421" s="38" t="str">
        <x:v>CINTA AISLANTE N10 33x25 BLANC</x:v>
      </x:c>
      <x:c r="H421" s="45" t="n">
        <x:v>1</x:v>
      </x:c>
      <x:c r="I421" s="47" t="n">
        <x:v>2.03</x:v>
      </x:c>
      <x:c r="J421" s="49" t="n">
        <x:v>0</x:v>
      </x:c>
      <x:c r="K421" s="51" t="n">
        <x:v>2.03</x:v>
      </x:c>
      <x:c r="L421" s="55" t="n">
        <x:v>0.03</x:v>
      </x:c>
    </x:row>
    <x:row r="422">
      <x:c r="B422" s="37" t="str">
        <x:v>Factura 92743225</x:v>
      </x:c>
      <x:c r="C422" s="38" t="str">
        <x:v>Comercial Eléctrica Canarias, S.A.</x:v>
      </x:c>
      <x:c r="D422" s="38" t="str">
        <x:v>15/07/2025</x:v>
      </x:c>
      <x:c r="E422" s="38" t="str">
        <x:v>Albarán 303.539/001 (03/07/2025)</x:v>
      </x:c>
      <x:c r="F422" s="38" t="str">
        <x:v>PLY-5245 / 2990</x:v>
      </x:c>
      <x:c r="G422" s="38" t="str">
        <x:v>CINTA AISLANTE N10 25x25 NEGR</x:v>
      </x:c>
      <x:c r="H422" s="45" t="n">
        <x:v>1</x:v>
      </x:c>
      <x:c r="I422" s="47" t="n">
        <x:v>1.573</x:v>
      </x:c>
      <x:c r="J422" s="49" t="n">
        <x:v>0</x:v>
      </x:c>
      <x:c r="K422" s="51" t="n">
        <x:v>1.57</x:v>
      </x:c>
      <x:c r="L422" s="55" t="n">
        <x:v>0.03</x:v>
      </x:c>
    </x:row>
    <x:row r="423">
      <x:c r="B423" s="37" t="str">
        <x:v>Factura 92964625</x:v>
      </x:c>
      <x:c r="C423" s="38" t="str">
        <x:v>Comercial Eléctrica Canarias, S.A.</x:v>
      </x:c>
      <x:c r="D423" s="38" t="str">
        <x:v>31/07/2025</x:v>
      </x:c>
      <x:c r="E423" s="38" t="str">
        <x:v>Albarán 133.373/013 (17/07/2025)</x:v>
      </x:c>
      <x:c r="F423" s="38" t="str">
        <x:v>CAN-80100020 / 365</x:v>
      </x:c>
      <x:c r="G423" s="38" t="str">
        <x:v>TUBO REFLEX M20</x:v>
      </x:c>
      <x:c r="H423" s="45" t="n">
        <x:v>100</x:v>
      </x:c>
      <x:c r="I423" s="47" t="n">
        <x:v>0.19</x:v>
      </x:c>
      <x:c r="J423" s="49" t="n">
        <x:v>0</x:v>
      </x:c>
      <x:c r="K423" s="51" t="n">
        <x:v>19</x:v>
      </x:c>
      <x:c r="L423" s="55" t="n">
        <x:v>0.03</x:v>
      </x:c>
    </x:row>
    <x:row r="424">
      <x:c r="B424" s="37" t="str">
        <x:v>Factura 92964625</x:v>
      </x:c>
      <x:c r="C424" s="38" t="str">
        <x:v>Comercial Eléctrica Canarias, S.A.</x:v>
      </x:c>
      <x:c r="D424" s="38" t="str">
        <x:v>31/07/2025</x:v>
      </x:c>
      <x:c r="E424" s="38" t="str">
        <x:v>Albarán 133.373/013 (17/07/2025)</x:v>
      </x:c>
      <x:c r="F424" s="38" t="str">
        <x:v>PLY-5247 / 2971</x:v>
      </x:c>
      <x:c r="G424" s="38" t="str">
        <x:v>CINTA AISLANTE N10 25x25 ROJO</x:v>
      </x:c>
      <x:c r="H424" s="45" t="n">
        <x:v>1</x:v>
      </x:c>
      <x:c r="I424" s="47" t="n">
        <x:v>1.573</x:v>
      </x:c>
      <x:c r="J424" s="49" t="n">
        <x:v>0</x:v>
      </x:c>
      <x:c r="K424" s="51" t="n">
        <x:v>1.57</x:v>
      </x:c>
      <x:c r="L424" s="55" t="n">
        <x:v>0.03</x:v>
      </x:c>
    </x:row>
    <x:row r="425">
      <x:c r="B425" s="37" t="str">
        <x:v>Factura 92964625</x:v>
      </x:c>
      <x:c r="C425" s="38" t="str">
        <x:v>Comercial Eléctrica Canarias, S.A.</x:v>
      </x:c>
      <x:c r="D425" s="38" t="str">
        <x:v>31/07/2025</x:v>
      </x:c>
      <x:c r="E425" s="38" t="str">
        <x:v>Albarán 133.448/013 (22/07/2025)</x:v>
      </x:c>
      <x:c r="F425" s="38" t="str">
        <x:v>CAN-80100025 / 366</x:v>
      </x:c>
      <x:c r="G425" s="38" t="str">
        <x:v>TUBO REFLEX M25</x:v>
      </x:c>
      <x:c r="H425" s="45" t="n">
        <x:v>100</x:v>
      </x:c>
      <x:c r="I425" s="47" t="n">
        <x:v>0.257</x:v>
      </x:c>
      <x:c r="J425" s="49" t="n">
        <x:v>0</x:v>
      </x:c>
      <x:c r="K425" s="51" t="n">
        <x:v>25.7</x:v>
      </x:c>
      <x:c r="L425" s="55" t="n">
        <x:v>0.03</x:v>
      </x:c>
    </x:row>
    <x:row r="426">
      <x:c r="B426" s="37" t="str">
        <x:v>Factura 92964625</x:v>
      </x:c>
      <x:c r="C426" s="38" t="str">
        <x:v>Comercial Eléctrica Canarias, S.A.</x:v>
      </x:c>
      <x:c r="D426" s="38" t="str">
        <x:v>31/07/2025</x:v>
      </x:c>
      <x:c r="E426" s="38" t="str">
        <x:v>Albarán 133.448/013 (22/07/2025)</x:v>
      </x:c>
      <x:c r="F426" s="38" t="str">
        <x:v>PLY-5538 / 3088</x:v>
      </x:c>
      <x:c r="G426" s="38" t="str">
        <x:v>CINTA AISLANTE N10 33x25 BLANC</x:v>
      </x:c>
      <x:c r="H426" s="45" t="n">
        <x:v>1</x:v>
      </x:c>
      <x:c r="I426" s="47" t="n">
        <x:v>2.03</x:v>
      </x:c>
      <x:c r="J426" s="49" t="n">
        <x:v>0</x:v>
      </x:c>
      <x:c r="K426" s="51" t="n">
        <x:v>2.03</x:v>
      </x:c>
      <x:c r="L426" s="55" t="n">
        <x:v>0.03</x:v>
      </x:c>
    </x:row>
    <x:row r="427">
      <x:c r="B427" s="37" t="str">
        <x:v>Factura 92964625</x:v>
      </x:c>
      <x:c r="C427" s="38" t="str">
        <x:v>Comercial Eléctrica Canarias, S.A.</x:v>
      </x:c>
      <x:c r="D427" s="38" t="str">
        <x:v>31/07/2025</x:v>
      </x:c>
      <x:c r="E427" s="38" t="str">
        <x:v>Albarán 133.449/013 (22/07/2025)</x:v>
      </x:c>
      <x:c r="F427" s="38" t="str">
        <x:v>CAN-80100025 / 366</x:v>
      </x:c>
      <x:c r="G427" s="38" t="str">
        <x:v>TUBO REFLEX M25</x:v>
      </x:c>
      <x:c r="H427" s="45" t="n">
        <x:v>300</x:v>
      </x:c>
      <x:c r="I427" s="47" t="n">
        <x:v>0.257</x:v>
      </x:c>
      <x:c r="J427" s="49" t="n">
        <x:v>0</x:v>
      </x:c>
      <x:c r="K427" s="51" t="n">
        <x:v>77.1</x:v>
      </x:c>
      <x:c r="L427" s="55" t="n">
        <x:v>0.03</x:v>
      </x:c>
    </x:row>
    <x:row r="428">
      <x:c r="B428" s="37" t="str">
        <x:v>Factura 92964625</x:v>
      </x:c>
      <x:c r="C428" s="38" t="str">
        <x:v>Comercial Eléctrica Canarias, S.A.</x:v>
      </x:c>
      <x:c r="D428" s="38" t="str">
        <x:v>31/07/2025</x:v>
      </x:c>
      <x:c r="E428" s="38" t="str">
        <x:v>Albarán 133.449/013 (22/07/2025)</x:v>
      </x:c>
      <x:c r="F428" s="38" t="str">
        <x:v>CAN-80100032 / 367</x:v>
      </x:c>
      <x:c r="G428" s="38" t="str">
        <x:v>TUBO REFLEX M32</x:v>
      </x:c>
      <x:c r="H428" s="45" t="n">
        <x:v>100</x:v>
      </x:c>
      <x:c r="I428" s="47" t="n">
        <x:v>0.428</x:v>
      </x:c>
      <x:c r="J428" s="49" t="n">
        <x:v>0</x:v>
      </x:c>
      <x:c r="K428" s="51" t="n">
        <x:v>42.8</x:v>
      </x:c>
      <x:c r="L428" s="55" t="n">
        <x:v>0.03</x:v>
      </x:c>
    </x:row>
    <x:row r="429">
      <x:c r="B429" s="37" t="str">
        <x:v>Factura 92964625</x:v>
      </x:c>
      <x:c r="C429" s="38" t="str">
        <x:v>Comercial Eléctrica Canarias, S.A.</x:v>
      </x:c>
      <x:c r="D429" s="38" t="str">
        <x:v>31/07/2025</x:v>
      </x:c>
      <x:c r="E429" s="38" t="str">
        <x:v>Albarán 133.449/013 (22/07/2025)</x:v>
      </x:c>
      <x:c r="F429" s="38" t="str">
        <x:v>GEW-GW48007 / 948007</x:v>
      </x:c>
      <x:c r="G429" s="38" t="str">
        <x:v>CAJA REGISTRO PT- 7 294X152X70</x:v>
      </x:c>
      <x:c r="H429" s="45" t="n">
        <x:v>3</x:v>
      </x:c>
      <x:c r="I429" s="47" t="n">
        <x:v>4.544</x:v>
      </x:c>
      <x:c r="J429" s="49" t="n">
        <x:v>0</x:v>
      </x:c>
      <x:c r="K429" s="51" t="n">
        <x:v>13.63</x:v>
      </x:c>
      <x:c r="L429" s="55" t="n">
        <x:v>0.07</x:v>
      </x:c>
    </x:row>
    <x:row r="430">
      <x:c r="B430" s="37" t="str">
        <x:v>Factura 92964625</x:v>
      </x:c>
      <x:c r="C430" s="38" t="str">
        <x:v>Comercial Eléctrica Canarias, S.A.</x:v>
      </x:c>
      <x:c r="D430" s="38" t="str">
        <x:v>31/07/2025</x:v>
      </x:c>
      <x:c r="E430" s="38" t="str">
        <x:v>Albarán 133.449/013 (22/07/2025)</x:v>
      </x:c>
      <x:c r="F430" s="38" t="str">
        <x:v>CABLE / 555157</x:v>
      </x:c>
      <x:c r="G430" s="38" t="str">
        <x:v>CABLE H07Z1-K CPR 1X1.5 NEGRO</x:v>
      </x:c>
      <x:c r="H430" s="45" t="n">
        <x:v>200</x:v>
      </x:c>
      <x:c r="I430" s="47" t="n">
        <x:v>0.19</x:v>
      </x:c>
      <x:c r="J430" s="49" t="n">
        <x:v>0</x:v>
      </x:c>
      <x:c r="K430" s="51" t="n">
        <x:v>38</x:v>
      </x:c>
      <x:c r="L430" s="55" t="n">
        <x:v>0.07</x:v>
      </x:c>
    </x:row>
    <x:row r="431">
      <x:c r="B431" s="37" t="str">
        <x:v>Factura 92964625</x:v>
      </x:c>
      <x:c r="C431" s="38" t="str">
        <x:v>Comercial Eléctrica Canarias, S.A.</x:v>
      </x:c>
      <x:c r="D431" s="38" t="str">
        <x:v>31/07/2025</x:v>
      </x:c>
      <x:c r="E431" s="38" t="str">
        <x:v>Albarán 133.449/013 (22/07/2025)</x:v>
      </x:c>
      <x:c r="F431" s="38" t="str">
        <x:v>CABLE / 555160</x:v>
      </x:c>
      <x:c r="G431" s="38" t="str">
        <x:v>CABLE H07Z1-K CPR 1X1.5 AZUL</x:v>
      </x:c>
      <x:c r="H431" s="45" t="n">
        <x:v>200</x:v>
      </x:c>
      <x:c r="I431" s="47" t="n">
        <x:v>0.19</x:v>
      </x:c>
      <x:c r="J431" s="49" t="n">
        <x:v>0</x:v>
      </x:c>
      <x:c r="K431" s="51" t="n">
        <x:v>38</x:v>
      </x:c>
      <x:c r="L431" s="55" t="n">
        <x:v>0.07</x:v>
      </x:c>
    </x:row>
    <x:row r="432">
      <x:c r="B432" s="37" t="str">
        <x:v>Factura 92964625</x:v>
      </x:c>
      <x:c r="C432" s="38" t="str">
        <x:v>Comercial Eléctrica Canarias, S.A.</x:v>
      </x:c>
      <x:c r="D432" s="38" t="str">
        <x:v>31/07/2025</x:v>
      </x:c>
      <x:c r="E432" s="38" t="str">
        <x:v>Albarán 133.449/013 (22/07/2025)</x:v>
      </x:c>
      <x:c r="F432" s="38" t="str">
        <x:v>CABLE / 555161</x:v>
      </x:c>
      <x:c r="G432" s="38" t="str">
        <x:v>CABLE H07Z1-K CPR 1X1.5 AM/VDE</x:v>
      </x:c>
      <x:c r="H432" s="45" t="n">
        <x:v>200</x:v>
      </x:c>
      <x:c r="I432" s="47" t="n">
        <x:v>0.19</x:v>
      </x:c>
      <x:c r="J432" s="49" t="n">
        <x:v>0</x:v>
      </x:c>
      <x:c r="K432" s="51" t="n">
        <x:v>38</x:v>
      </x:c>
      <x:c r="L432" s="55" t="n">
        <x:v>0.07</x:v>
      </x:c>
    </x:row>
    <x:row r="433">
      <x:c r="B433" s="37" t="str">
        <x:v>Factura 92964625</x:v>
      </x:c>
      <x:c r="C433" s="38" t="str">
        <x:v>Comercial Eléctrica Canarias, S.A.</x:v>
      </x:c>
      <x:c r="D433" s="38" t="str">
        <x:v>31/07/2025</x:v>
      </x:c>
      <x:c r="E433" s="38" t="str">
        <x:v>Albarán 133.449/013 (22/07/2025)</x:v>
      </x:c>
      <x:c r="F433" s="38" t="str">
        <x:v>CABLE / 555162</x:v>
      </x:c>
      <x:c r="G433" s="38" t="str">
        <x:v>CABLE H07Z1-K CPR 1X2.5 NEGRO</x:v>
      </x:c>
      <x:c r="H433" s="45" t="n">
        <x:v>200</x:v>
      </x:c>
      <x:c r="I433" s="47" t="n">
        <x:v>0.3</x:v>
      </x:c>
      <x:c r="J433" s="49" t="n">
        <x:v>0</x:v>
      </x:c>
      <x:c r="K433" s="51" t="n">
        <x:v>60</x:v>
      </x:c>
      <x:c r="L433" s="55" t="n">
        <x:v>0.07</x:v>
      </x:c>
    </x:row>
    <x:row r="434">
      <x:c r="B434" s="37" t="str">
        <x:v>Factura 92964625</x:v>
      </x:c>
      <x:c r="C434" s="38" t="str">
        <x:v>Comercial Eléctrica Canarias, S.A.</x:v>
      </x:c>
      <x:c r="D434" s="38" t="str">
        <x:v>31/07/2025</x:v>
      </x:c>
      <x:c r="E434" s="38" t="str">
        <x:v>Albarán 133.449/013 (22/07/2025)</x:v>
      </x:c>
      <x:c r="F434" s="38" t="str">
        <x:v>CABLE / 555165</x:v>
      </x:c>
      <x:c r="G434" s="38" t="str">
        <x:v>CABLE H07Z1-K CPR 1X2.5 AZUL</x:v>
      </x:c>
      <x:c r="H434" s="45" t="n">
        <x:v>200</x:v>
      </x:c>
      <x:c r="I434" s="47" t="n">
        <x:v>0.3</x:v>
      </x:c>
      <x:c r="J434" s="49" t="n">
        <x:v>0</x:v>
      </x:c>
      <x:c r="K434" s="51" t="n">
        <x:v>60</x:v>
      </x:c>
      <x:c r="L434" s="55" t="n">
        <x:v>0.07</x:v>
      </x:c>
    </x:row>
    <x:row r="435">
      <x:c r="B435" s="37" t="str">
        <x:v>Factura 92964625</x:v>
      </x:c>
      <x:c r="C435" s="38" t="str">
        <x:v>Comercial Eléctrica Canarias, S.A.</x:v>
      </x:c>
      <x:c r="D435" s="38" t="str">
        <x:v>31/07/2025</x:v>
      </x:c>
      <x:c r="E435" s="38" t="str">
        <x:v>Albarán 133.449/013 (22/07/2025)</x:v>
      </x:c>
      <x:c r="F435" s="38" t="str">
        <x:v>CABLE / 555166</x:v>
      </x:c>
      <x:c r="G435" s="38" t="str">
        <x:v>CABLE H07Z1-K CPR 1X2.5 AM/VDE</x:v>
      </x:c>
      <x:c r="H435" s="45" t="n">
        <x:v>200</x:v>
      </x:c>
      <x:c r="I435" s="47" t="n">
        <x:v>0.3</x:v>
      </x:c>
      <x:c r="J435" s="49" t="n">
        <x:v>0</x:v>
      </x:c>
      <x:c r="K435" s="51" t="n">
        <x:v>60</x:v>
      </x:c>
      <x:c r="L435" s="55" t="n">
        <x:v>0.07</x:v>
      </x:c>
    </x:row>
    <x:row r="436">
      <x:c r="B436" s="37" t="str">
        <x:v>Factura 92964625</x:v>
      </x:c>
      <x:c r="C436" s="38" t="str">
        <x:v>Comercial Eléctrica Canarias, S.A.</x:v>
      </x:c>
      <x:c r="D436" s="38" t="str">
        <x:v>31/07/2025</x:v>
      </x:c>
      <x:c r="E436" s="38" t="str">
        <x:v>Albarán 133.594/013 (31/07/2025)</x:v>
      </x:c>
      <x:c r="F436" s="38" t="str">
        <x:v>CABLE / 5551446</x:v>
      </x:c>
      <x:c r="G436" s="38" t="str">
        <x:v>CABLE RZ1-K CPR 0.6/1KV 4G1.5</x:v>
      </x:c>
      <x:c r="H436" s="45" t="n">
        <x:v>45</x:v>
      </x:c>
      <x:c r="I436" s="47" t="n">
        <x:v>1.105</x:v>
      </x:c>
      <x:c r="J436" s="49" t="n">
        <x:v>0</x:v>
      </x:c>
      <x:c r="K436" s="51" t="n">
        <x:v>49.73</x:v>
      </x:c>
      <x:c r="L436" s="55" t="n">
        <x:v>0.07</x:v>
      </x:c>
    </x:row>
    <x:row r="437">
      <x:c r="B437" s="37" t="str">
        <x:v>Factura 92320225</x:v>
      </x:c>
      <x:c r="C437" s="38" t="str">
        <x:v>Comercial Eléctrica Canarias, S.A.</x:v>
      </x:c>
      <x:c r="D437" s="38" t="str">
        <x:v>15/06/2025</x:v>
      </x:c>
      <x:c r="E437" s="38" t="str">
        <x:v>Albarán 132.611/013 (05/06/2025)</x:v>
      </x:c>
      <x:c r="F437" s="38" t="str">
        <x:v>CABLE / 5551446</x:v>
      </x:c>
      <x:c r="G437" s="38" t="str">
        <x:v>CABLE RZ1-K CPR 0.6/1KV 4G1.5</x:v>
      </x:c>
      <x:c r="H437" s="45" t="n">
        <x:v>200</x:v>
      </x:c>
      <x:c r="I437" s="47" t="n">
        <x:v>1.1</x:v>
      </x:c>
      <x:c r="J437" s="49" t="n">
        <x:v>0</x:v>
      </x:c>
      <x:c r="K437" s="51" t="n">
        <x:v>220</x:v>
      </x:c>
      <x:c r="L437" s="55" t="n">
        <x:v>0.07</x:v>
      </x:c>
    </x:row>
    <x:row r="438">
      <x:c r="B438" s="37" t="str">
        <x:v>Factura 92320225</x:v>
      </x:c>
      <x:c r="C438" s="38" t="str">
        <x:v>Comercial Eléctrica Canarias, S.A.</x:v>
      </x:c>
      <x:c r="D438" s="38" t="str">
        <x:v>15/06/2025</x:v>
      </x:c>
      <x:c r="E438" s="38" t="str">
        <x:v>Albarán 132.611/013 (05/06/2025)</x:v>
      </x:c>
      <x:c r="F438" s="38" t="str">
        <x:v>CABLE / 5551438</x:v>
      </x:c>
      <x:c r="G438" s="38" t="str">
        <x:v>CABLE RZ1K CPR 06/1KV 3G6 C/AV</x:v>
      </x:c>
      <x:c r="H438" s="45" t="n">
        <x:v>150</x:v>
      </x:c>
      <x:c r="I438" s="47" t="n">
        <x:v>2.68</x:v>
      </x:c>
      <x:c r="J438" s="49" t="n">
        <x:v>0</x:v>
      </x:c>
      <x:c r="K438" s="51" t="n">
        <x:v>402</x:v>
      </x:c>
      <x:c r="L438" s="55" t="n">
        <x:v>0.07</x:v>
      </x:c>
    </x:row>
    <x:row r="439">
      <x:c r="B439" s="37" t="str">
        <x:v>Factura 92320225</x:v>
      </x:c>
      <x:c r="C439" s="38" t="str">
        <x:v>Comercial Eléctrica Canarias, S.A.</x:v>
      </x:c>
      <x:c r="D439" s="38" t="str">
        <x:v>15/06/2025</x:v>
      </x:c>
      <x:c r="E439" s="38" t="str">
        <x:v>Albarán 132.722/013 (12/06/2025)</x:v>
      </x:c>
      <x:c r="F439" s="38" t="str">
        <x:v>GEW-DX20025R / 9200258</x:v>
      </x:c>
      <x:c r="G439" s="38" t="str">
        <x:v>TUBO CORRU.L.H.34223 GRIS M25R</x:v>
      </x:c>
      <x:c r="H439" s="45" t="n">
        <x:v>75</x:v>
      </x:c>
      <x:c r="I439" s="47" t="n">
        <x:v>0.729</x:v>
      </x:c>
      <x:c r="J439" s="49" t="n">
        <x:v>0</x:v>
      </x:c>
      <x:c r="K439" s="51" t="n">
        <x:v>54.68</x:v>
      </x:c>
      <x:c r="L439" s="55" t="n">
        <x:v>0.03</x:v>
      </x:c>
    </x:row>
    <x:row r="440">
      <x:c r="B440" s="37" t="str">
        <x:v>Factura 92320225</x:v>
      </x:c>
      <x:c r="C440" s="38" t="str">
        <x:v>Comercial Eléctrica Canarias, S.A.</x:v>
      </x:c>
      <x:c r="D440" s="38" t="str">
        <x:v>15/06/2025</x:v>
      </x:c>
      <x:c r="E440" s="38" t="str">
        <x:v>Albarán 132.722/013 (12/06/2025)</x:v>
      </x:c>
      <x:c r="F440" s="38" t="str">
        <x:v>SOL-6625 / 866250</x:v>
      </x:c>
      <x:c r="G440" s="38" t="str">
        <x:v>CAJA ENLAZABLE UNIV.CUADRADA</x:v>
      </x:c>
      <x:c r="H440" s="45" t="n">
        <x:v>20</x:v>
      </x:c>
      <x:c r="I440" s="47" t="n">
        <x:v>0.165</x:v>
      </x:c>
      <x:c r="J440" s="49" t="n">
        <x:v>0</x:v>
      </x:c>
      <x:c r="K440" s="51" t="n">
        <x:v>3.3</x:v>
      </x:c>
      <x:c r="L440" s="55" t="n">
        <x:v>0.07</x:v>
      </x:c>
    </x:row>
    <x:row r="441">
      <x:c r="B441" s="37" t="str">
        <x:v>Factura 92320225</x:v>
      </x:c>
      <x:c r="C441" s="38" t="str">
        <x:v>Comercial Eléctrica Canarias, S.A.</x:v>
      </x:c>
      <x:c r="D441" s="38" t="str">
        <x:v>15/06/2025</x:v>
      </x:c>
      <x:c r="E441" s="38" t="str">
        <x:v>Albarán 132.722/013 (12/06/2025)</x:v>
      </x:c>
      <x:c r="F441" s="38" t="str">
        <x:v>GEW-GW48007 / 948007</x:v>
      </x:c>
      <x:c r="G441" s="38" t="str">
        <x:v>CAJA REGISTRO PT- 7 294X152X70</x:v>
      </x:c>
      <x:c r="H441" s="45" t="n">
        <x:v>2</x:v>
      </x:c>
      <x:c r="I441" s="47" t="n">
        <x:v>4.544</x:v>
      </x:c>
      <x:c r="J441" s="49" t="n">
        <x:v>0</x:v>
      </x:c>
      <x:c r="K441" s="51" t="n">
        <x:v>9.09</x:v>
      </x:c>
      <x:c r="L441" s="55" t="n">
        <x:v>0.07</x:v>
      </x:c>
    </x:row>
    <x:row r="442">
      <x:c r="B442" s="37" t="str">
        <x:v>Factura 92320225</x:v>
      </x:c>
      <x:c r="C442" s="38" t="str">
        <x:v>Comercial Eléctrica Canarias, S.A.</x:v>
      </x:c>
      <x:c r="D442" s="38" t="str">
        <x:v>15/06/2025</x:v>
      </x:c>
      <x:c r="E442" s="38" t="str">
        <x:v>Albarán 132.722/013 (12/06/2025)</x:v>
      </x:c>
      <x:c r="F442" s="38" t="str">
        <x:v>GEW-GW48006 / 948006</x:v>
      </x:c>
      <x:c r="G442" s="38" t="str">
        <x:v>CAJA REGISTRO PT- 6 196X152X70</x:v>
      </x:c>
      <x:c r="H442" s="45" t="n">
        <x:v>1</x:v>
      </x:c>
      <x:c r="I442" s="47" t="n">
        <x:v>2.841</x:v>
      </x:c>
      <x:c r="J442" s="49" t="n">
        <x:v>0</x:v>
      </x:c>
      <x:c r="K442" s="51" t="n">
        <x:v>2.84</x:v>
      </x:c>
      <x:c r="L442" s="55" t="n">
        <x:v>0.07</x:v>
      </x:c>
    </x:row>
    <x:row r="443">
      <x:c r="B443" s="37" t="str">
        <x:v>Factura 92320225</x:v>
      </x:c>
      <x:c r="C443" s="38" t="str">
        <x:v>Comercial Eléctrica Canarias, S.A.</x:v>
      </x:c>
      <x:c r="D443" s="38" t="str">
        <x:v>15/06/2025</x:v>
      </x:c>
      <x:c r="E443" s="38" t="str">
        <x:v>Albarán 132.722/013 (12/06/2025)</x:v>
      </x:c>
      <x:c r="F443" s="38" t="str">
        <x:v>SOU-157389 / 7915</x:v>
      </x:c>
      <x:c r="G443" s="38" t="str">
        <x:v>SPRAY MARCADOR OBRA 500ml BLAN</x:v>
      </x:c>
      <x:c r="H443" s="45" t="n">
        <x:v>1</x:v>
      </x:c>
      <x:c r="I443" s="47" t="n">
        <x:v>4.383</x:v>
      </x:c>
      <x:c r="J443" s="49" t="n">
        <x:v>0</x:v>
      </x:c>
      <x:c r="K443" s="51" t="n">
        <x:v>4.38</x:v>
      </x:c>
      <x:c r="L443" s="55" t="n">
        <x:v>0.07</x:v>
      </x:c>
    </x:row>
    <x:row r="444">
      <x:c r="B444" s="37" t="str">
        <x:v>Factura 92320225</x:v>
      </x:c>
      <x:c r="C444" s="38" t="str">
        <x:v>Comercial Eléctrica Canarias, S.A.</x:v>
      </x:c>
      <x:c r="D444" s="38" t="str">
        <x:v>15/06/2025</x:v>
      </x:c>
      <x:c r="E444" s="38" t="str">
        <x:v>Albarán 132.722/013 (12/06/2025)</x:v>
      </x:c>
      <x:c r="F444" s="38" t="str">
        <x:v>PLY-5538 / 3088</x:v>
      </x:c>
      <x:c r="G444" s="38" t="str">
        <x:v>CINTA AISLANTE N10 33x25 BLANC</x:v>
      </x:c>
      <x:c r="H444" s="45" t="n">
        <x:v>2</x:v>
      </x:c>
      <x:c r="I444" s="47" t="n">
        <x:v>2.03</x:v>
      </x:c>
      <x:c r="J444" s="49" t="n">
        <x:v>0</x:v>
      </x:c>
      <x:c r="K444" s="51" t="n">
        <x:v>4.06</x:v>
      </x:c>
      <x:c r="L444" s="55" t="n">
        <x:v>0.03</x:v>
      </x:c>
    </x:row>
    <x:row r="445">
      <x:c r="B445" s="37" t="str">
        <x:v>Factura 92320225</x:v>
      </x:c>
      <x:c r="C445" s="38" t="str">
        <x:v>Comercial Eléctrica Canarias, S.A.</x:v>
      </x:c>
      <x:c r="D445" s="38" t="str">
        <x:v>15/06/2025</x:v>
      </x:c>
      <x:c r="E445" s="38" t="str">
        <x:v>Albarán 132.722/013 (12/06/2025)</x:v>
      </x:c>
      <x:c r="F445" s="38" t="str">
        <x:v>SOL-5503 / 855030</x:v>
      </x:c>
      <x:c r="G445" s="38" t="str">
        <x:v>CAJA ICT 5030/8 PLAST.EMP-5503</x:v>
      </x:c>
      <x:c r="H445" s="45" t="n">
        <x:v>1</x:v>
      </x:c>
      <x:c r="I445" s="47" t="n">
        <x:v>8.08</x:v>
      </x:c>
      <x:c r="J445" s="49" t="n">
        <x:v>0</x:v>
      </x:c>
      <x:c r="K445" s="51" t="n">
        <x:v>8.08</x:v>
      </x:c>
      <x:c r="L445" s="55" t="n">
        <x:v>0.07</x:v>
      </x:c>
    </x:row>
    <x:row r="446">
      <x:c r="B446" s="37" t="str">
        <x:v>Factura 92320225</x:v>
      </x:c>
      <x:c r="C446" s="38" t="str">
        <x:v>Comercial Eléctrica Canarias, S.A.</x:v>
      </x:c>
      <x:c r="D446" s="38" t="str">
        <x:v>15/06/2025</x:v>
      </x:c>
      <x:c r="E446" s="38" t="str">
        <x:v>Albarán 132.722/013 (12/06/2025)</x:v>
      </x:c>
      <x:c r="F446" s="38" t="str">
        <x:v>SOL-8203FLJ / 882030</x:v>
      </x:c>
      <x:c r="G446" s="38" t="str">
        <x:v>CENTRALITA 24E+ICP EMP.PTA.BL</x:v>
      </x:c>
      <x:c r="H446" s="45" t="n">
        <x:v>1</x:v>
      </x:c>
      <x:c r="I446" s="47" t="n">
        <x:v>17.268</x:v>
      </x:c>
      <x:c r="J446" s="49" t="n">
        <x:v>0</x:v>
      </x:c>
      <x:c r="K446" s="51" t="n">
        <x:v>17.27</x:v>
      </x:c>
      <x:c r="L446" s="55" t="n">
        <x:v>0.07</x:v>
      </x:c>
    </x:row>
    <x:row r="447">
      <x:c r="B447" s="37" t="str">
        <x:v>Factura 92320225</x:v>
      </x:c>
      <x:c r="C447" s="38" t="str">
        <x:v>Comercial Eléctrica Canarias, S.A.</x:v>
      </x:c>
      <x:c r="D447" s="38" t="str">
        <x:v>15/06/2025</x:v>
      </x:c>
      <x:c r="E447" s="38" t="str">
        <x:v>Albarán 132.722/013 (12/06/2025)</x:v>
      </x:c>
      <x:c r="F447" s="38" t="str">
        <x:v>DES-14014297 / 14014297</x:v>
      </x:c>
      <x:c r="G447" s="38" t="str">
        <x:v>BRIDA 300x4,8 ESTAND. NG 100u</x:v>
      </x:c>
      <x:c r="H447" s="45" t="n">
        <x:v>300</x:v>
      </x:c>
      <x:c r="I447" s="47" t="n">
        <x:v>0.055</x:v>
      </x:c>
      <x:c r="J447" s="49" t="n">
        <x:v>0</x:v>
      </x:c>
      <x:c r="K447" s="51" t="n">
        <x:v>16.5</x:v>
      </x:c>
      <x:c r="L447" s="55" t="n">
        <x:v>0.03</x:v>
      </x:c>
    </x:row>
    <x:row r="448">
      <x:c r="B448" s="37" t="str">
        <x:v>Factura 92320225</x:v>
      </x:c>
      <x:c r="C448" s="38" t="str">
        <x:v>Comercial Eléctrica Canarias, S.A.</x:v>
      </x:c>
      <x:c r="D448" s="38" t="str">
        <x:v>15/06/2025</x:v>
      </x:c>
      <x:c r="E448" s="38" t="str">
        <x:v>Albarán 132.722/013 (12/06/2025)</x:v>
      </x:c>
      <x:c r="F448" s="38" t="str">
        <x:v>DES-14020014 / 46016</x:v>
      </x:c>
      <x:c r="G448" s="38" t="str">
        <x:v>TACO BRIDA M8 NEGRO</x:v>
      </x:c>
      <x:c r="H448" s="45" t="n">
        <x:v>200</x:v>
      </x:c>
      <x:c r="I448" s="47" t="n">
        <x:v>0.038</x:v>
      </x:c>
      <x:c r="J448" s="49" t="n">
        <x:v>0</x:v>
      </x:c>
      <x:c r="K448" s="51" t="n">
        <x:v>7.6</x:v>
      </x:c>
      <x:c r="L448" s="55" t="n">
        <x:v>0.03</x:v>
      </x:c>
    </x:row>
    <x:row r="449">
      <x:c r="B449" s="37" t="str">
        <x:v>Factura 92320225</x:v>
      </x:c>
      <x:c r="C449" s="38" t="str">
        <x:v>Comercial Eléctrica Canarias, S.A.</x:v>
      </x:c>
      <x:c r="D449" s="38" t="str">
        <x:v>15/06/2025</x:v>
      </x:c>
      <x:c r="E449" s="38" t="str">
        <x:v>Albarán 132.722/013 (12/06/2025)</x:v>
      </x:c>
      <x:c r="F449" s="38" t="str">
        <x:v>CABLE / 555157</x:v>
      </x:c>
      <x:c r="G449" s="38" t="str">
        <x:v>CABLE H07Z1-K CPR 1X1.5 NEGRO</x:v>
      </x:c>
      <x:c r="H449" s="45" t="n">
        <x:v>200</x:v>
      </x:c>
      <x:c r="I449" s="47" t="n">
        <x:v>0.195</x:v>
      </x:c>
      <x:c r="J449" s="49" t="n">
        <x:v>0</x:v>
      </x:c>
      <x:c r="K449" s="51" t="n">
        <x:v>39</x:v>
      </x:c>
      <x:c r="L449" s="55" t="n">
        <x:v>0.07</x:v>
      </x:c>
    </x:row>
    <x:row r="450">
      <x:c r="B450" s="37" t="str">
        <x:v>Factura 92320225</x:v>
      </x:c>
      <x:c r="C450" s="38" t="str">
        <x:v>Comercial Eléctrica Canarias, S.A.</x:v>
      </x:c>
      <x:c r="D450" s="38" t="str">
        <x:v>15/06/2025</x:v>
      </x:c>
      <x:c r="E450" s="38" t="str">
        <x:v>Albarán 132.722/013 (12/06/2025)</x:v>
      </x:c>
      <x:c r="F450" s="38" t="str">
        <x:v>CABLE / 555159</x:v>
      </x:c>
      <x:c r="G450" s="38" t="str">
        <x:v>CABLE H07Z1-K CPR 1X1.5 GRIS</x:v>
      </x:c>
      <x:c r="H450" s="45" t="n">
        <x:v>200</x:v>
      </x:c>
      <x:c r="I450" s="47" t="n">
        <x:v>0.195</x:v>
      </x:c>
      <x:c r="J450" s="49" t="n">
        <x:v>0</x:v>
      </x:c>
      <x:c r="K450" s="51" t="n">
        <x:v>39</x:v>
      </x:c>
      <x:c r="L450" s="55" t="n">
        <x:v>0.07</x:v>
      </x:c>
    </x:row>
    <x:row r="451">
      <x:c r="B451" s="37" t="str">
        <x:v>Factura 92320225</x:v>
      </x:c>
      <x:c r="C451" s="38" t="str">
        <x:v>Comercial Eléctrica Canarias, S.A.</x:v>
      </x:c>
      <x:c r="D451" s="38" t="str">
        <x:v>15/06/2025</x:v>
      </x:c>
      <x:c r="E451" s="38" t="str">
        <x:v>Albarán 132.722/013 (12/06/2025)</x:v>
      </x:c>
      <x:c r="F451" s="38" t="str">
        <x:v>CABLE / 89555158</x:v>
      </x:c>
      <x:c r="G451" s="38" t="str">
        <x:v>CABLE 07Z1K CPR 1X1.5 MR 100MT</x:v>
      </x:c>
      <x:c r="H451" s="45" t="n">
        <x:v>166</x:v>
      </x:c>
      <x:c r="I451" s="47" t="n">
        <x:v>0.198</x:v>
      </x:c>
      <x:c r="J451" s="49" t="n">
        <x:v>0</x:v>
      </x:c>
      <x:c r="K451" s="51" t="n">
        <x:v>32.87</x:v>
      </x:c>
      <x:c r="L451" s="55" t="n">
        <x:v>0.07</x:v>
      </x:c>
    </x:row>
    <x:row r="452">
      <x:c r="B452" s="37" t="str">
        <x:v>Factura 92320225</x:v>
      </x:c>
      <x:c r="C452" s="38" t="str">
        <x:v>Comercial Eléctrica Canarias, S.A.</x:v>
      </x:c>
      <x:c r="D452" s="38" t="str">
        <x:v>15/06/2025</x:v>
      </x:c>
      <x:c r="E452" s="38" t="str">
        <x:v>Albarán 132.722/013 (12/06/2025)</x:v>
      </x:c>
      <x:c r="F452" s="38" t="str">
        <x:v>CABLE / 555161</x:v>
      </x:c>
      <x:c r="G452" s="38" t="str">
        <x:v>CABLE H07Z1-K CPR 1X1.5 AM/VDE</x:v>
      </x:c>
      <x:c r="H452" s="45" t="n">
        <x:v>200</x:v>
      </x:c>
      <x:c r="I452" s="47" t="n">
        <x:v>0.195</x:v>
      </x:c>
      <x:c r="J452" s="49" t="n">
        <x:v>0</x:v>
      </x:c>
      <x:c r="K452" s="51" t="n">
        <x:v>39</x:v>
      </x:c>
      <x:c r="L452" s="55" t="n">
        <x:v>0.07</x:v>
      </x:c>
    </x:row>
    <x:row r="453">
      <x:c r="B453" s="37" t="str">
        <x:v>Factura 92320225</x:v>
      </x:c>
      <x:c r="C453" s="38" t="str">
        <x:v>Comercial Eléctrica Canarias, S.A.</x:v>
      </x:c>
      <x:c r="D453" s="38" t="str">
        <x:v>15/06/2025</x:v>
      </x:c>
      <x:c r="E453" s="38" t="str">
        <x:v>Albarán 132.722/013 (12/06/2025)</x:v>
      </x:c>
      <x:c r="F453" s="38" t="str">
        <x:v>CABLE / 555157</x:v>
      </x:c>
      <x:c r="G453" s="38" t="str">
        <x:v>CABLE H07Z1-K CPR 1X1.5 NEGRO</x:v>
      </x:c>
      <x:c r="H453" s="45" t="n">
        <x:v>34</x:v>
      </x:c>
      <x:c r="I453" s="47" t="n">
        <x:v>0.195</x:v>
      </x:c>
      <x:c r="J453" s="49" t="n">
        <x:v>0</x:v>
      </x:c>
      <x:c r="K453" s="51" t="n">
        <x:v>6.63</x:v>
      </x:c>
      <x:c r="L453" s="55" t="n">
        <x:v>0.07</x:v>
      </x:c>
    </x:row>
    <x:row r="454">
      <x:c r="B454" s="37" t="str">
        <x:v>Factura 92320225</x:v>
      </x:c>
      <x:c r="C454" s="38" t="str">
        <x:v>Comercial Eléctrica Canarias, S.A.</x:v>
      </x:c>
      <x:c r="D454" s="38" t="str">
        <x:v>15/06/2025</x:v>
      </x:c>
      <x:c r="E454" s="38" t="str">
        <x:v>Albarán 202.597/020 (12/06/2025)</x:v>
      </x:c>
      <x:c r="F454" s="38" t="str">
        <x:v>ESC-TF01453 / 7010401</x:v>
      </x:c>
      <x:c r="G454" s="38" t="str">
        <x:v>TUBO FRIGORIF.1/4+1/2 ROLL.20M</x:v>
      </x:c>
      <x:c r="H454" s="45" t="n">
        <x:v>1</x:v>
      </x:c>
      <x:c r="I454" s="47" t="n">
        <x:v>119</x:v>
      </x:c>
      <x:c r="J454" s="49" t="n">
        <x:v>0</x:v>
      </x:c>
      <x:c r="K454" s="51" t="n">
        <x:v>119</x:v>
      </x:c>
      <x:c r="L454" s="55" t="n">
        <x:v>0.07</x:v>
      </x:c>
    </x:row>
    <x:row r="455">
      <x:c r="B455" s="37" t="str">
        <x:v>Factura 92320225</x:v>
      </x:c>
      <x:c r="C455" s="38" t="str">
        <x:v>Comercial Eléctrica Canarias, S.A.</x:v>
      </x:c>
      <x:c r="D455" s="38" t="str">
        <x:v>15/06/2025</x:v>
      </x:c>
      <x:c r="E455" s="38" t="str">
        <x:v>Albarán 202.597/020 (12/06/2025)</x:v>
      </x:c>
      <x:c r="F455" s="38" t="str">
        <x:v>1802-5000 / 7560103</x:v>
      </x:c>
      <x:c r="G455" s="38" t="str">
        <x:v>SOPORTE SOLDADO 500mm 75Kg.</x:v>
      </x:c>
      <x:c r="H455" s="45" t="n">
        <x:v>1</x:v>
      </x:c>
      <x:c r="I455" s="47" t="n">
        <x:v>9.346</x:v>
      </x:c>
      <x:c r="J455" s="49" t="n">
        <x:v>0</x:v>
      </x:c>
      <x:c r="K455" s="51" t="n">
        <x:v>9.35</x:v>
      </x:c>
      <x:c r="L455" s="55" t="n">
        <x:v>0.07</x:v>
      </x:c>
    </x:row>
    <x:row r="456">
      <x:c r="B456" s="37" t="str">
        <x:v>Factura 92320225</x:v>
      </x:c>
      <x:c r="C456" s="38" t="str">
        <x:v>Comercial Eléctrica Canarias, S.A.</x:v>
      </x:c>
      <x:c r="D456" s="38" t="str">
        <x:v>15/06/2025</x:v>
      </x:c>
      <x:c r="E456" s="38" t="str">
        <x:v>Albarán 302.869/001 (03/06/2025)</x:v>
      </x:c>
      <x:c r="F456" s="38" t="str">
        <x:v>CAN-80100025 / 366</x:v>
      </x:c>
      <x:c r="G456" s="38" t="str">
        <x:v>TUBO REFLEX M25</x:v>
      </x:c>
      <x:c r="H456" s="45" t="n">
        <x:v>100</x:v>
      </x:c>
      <x:c r="I456" s="47" t="n">
        <x:v>0.257</x:v>
      </x:c>
      <x:c r="J456" s="49" t="n">
        <x:v>0</x:v>
      </x:c>
      <x:c r="K456" s="51" t="n">
        <x:v>25.7</x:v>
      </x:c>
      <x:c r="L456" s="55" t="n">
        <x:v>0.03</x:v>
      </x:c>
    </x:row>
    <x:row r="457">
      <x:c r="B457" s="67"/>
      <x:c r="C457" s="68"/>
      <x:c r="D457" s="68"/>
      <x:c r="E457" s="68"/>
      <x:c r="F457" s="68"/>
      <x:c r="G457" s="68" t="str">
        <x:v>Total General</x:v>
      </x:c>
      <x:c r="H457" s="69"/>
      <x:c r="I457" s="69"/>
      <x:c r="J457" s="69"/>
      <x:c r="K457" s="70" t="n">
        <x:f>SUM(K6:K456)</x:f>
        <x:v>39963.31000000002</x:v>
      </x:c>
      <x:c r="L457" s="71"/>
    </x:row>
  </x:sheetData>
  <x:mergeCells>
    <x:mergeCell ref="B2:L2"/>
    <x:mergeCell ref="B3:L3"/>
  </x:mergeCells>
  <x:conditionalFormatting sqref="K6:K456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44" hidden="0" customWidth="1"/>
    <x:col min="5" max="5" width="32" hidden="0" customWidth="1"/>
    <x:col min="6" max="6" width="14" hidden="0" customWidth="1"/>
    <x:col min="7" max="7" width="32" hidden="0" customWidth="1"/>
    <x:col min="8" max="8" width="14" hidden="0" customWidth="1"/>
    <x:col min="9" max="9" width="13" hidden="0" customWidth="1"/>
    <x:col min="10" max="10" width="11" hidden="0" customWidth="1"/>
    <x:col min="11" max="11" width="24" hidden="0" customWidth="1"/>
    <x:col min="12" max="12" width="12" hidden="0" customWidth="1"/>
    <x:col min="13" max="13" width="30" hidden="0" customWidth="1"/>
    <x:col min="14" max="14" width="58" hidden="0" customWidth="1"/>
  </x:cols>
  <x:sheetData>
    <x:row r="1">
      <x:c r="A1" s="94" t="str">
        <x:v>Comparativa de productos repetidos por proveedor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  <x:c r="L1" s="94"/>
      <x:c r="M1" s="94"/>
      <x:c r="N1" s="94"/>
    </x:row>
    <x:row r="2">
      <x:c r="A2" s="96" t="str">
        <x:v>Criterio usado: precio neto unitario = Total / Cantidad, ya con descuento y sin IGIC. Solo se decide el más barato cuando el producto aparece en más de un proveedor.</x:v>
      </x:c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</x:row>
    <x:row r="3">
      <x:c r="A3" s="96" t="str">
        <x:v>Nota: Alta = misma medida/modelo por código o descripción; Media/Media-Baja = revisar ficha, medida o modelo antes de comprar.</x:v>
      </x:c>
      <x:c r="B3" s="96"/>
      <x:c r="C3" s="96"/>
      <x:c r="D3" s="96"/>
      <x:c r="E3" s="96"/>
      <x:c r="F3" s="96"/>
      <x:c r="G3" s="96"/>
      <x:c r="H3" s="96"/>
      <x:c r="I3" s="96"/>
      <x:c r="J3" s="96"/>
      <x:c r="K3" s="96"/>
      <x:c r="L3" s="96"/>
      <x:c r="M3" s="96"/>
      <x:c r="N3" s="96"/>
    </x:row>
    <x:row r="4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</x:row>
    <x:row r="5">
      <x:c r="A5" s="91" t="str">
        <x:v>Producto comparable</x:v>
      </x:c>
      <x:c r="B5" s="91" t="str">
        <x:v>Confianza</x:v>
      </x:c>
      <x:c r="C5" s="91" t="str">
        <x:v>Nº proveedores</x:v>
      </x:c>
      <x:c r="D5" s="91" t="str">
        <x:v>Proveedores encontrados</x:v>
      </x:c>
      <x:c r="E5" s="91" t="str">
        <x:v>Proveedor más barato</x:v>
      </x:c>
      <x:c r="F5" s="91" t="str">
        <x:v>Precio neto mín.</x:v>
      </x:c>
      <x:c r="G5" s="91" t="str">
        <x:v>2º proveedor</x:v>
      </x:c>
      <x:c r="H5" s="91" t="str">
        <x:v>2º precio neto</x:v>
      </x:c>
      <x:c r="I5" s="91" t="str">
        <x:v>Ahorro €/ud</x:v>
      </x:c>
      <x:c r="J5" s="91" t="str">
        <x:v>Ahorro %</x:v>
      </x:c>
      <x:c r="K5" s="91" t="str">
        <x:v>Doc. mejor precio</x:v>
      </x:c>
      <x:c r="L5" s="91" t="str">
        <x:v>Fecha</x:v>
      </x:c>
      <x:c r="M5" s="91" t="str">
        <x:v>Referencia</x:v>
      </x:c>
      <x:c r="N5" s="91" t="str">
        <x:v>Observaciones</x:v>
      </x:c>
    </x:row>
    <x:row r="6">
      <x:c r="A6" s="38" t="str">
        <x:v>Tubo cobre aislado bitubo 1/4 + 1/2, rollo 20 m</x:v>
      </x:c>
      <x:c r="B6" s="38" t="str">
        <x:v>Alta</x:v>
      </x:c>
      <x:c r="C6" s="38" t="n">
        <x:v>2</x:v>
      </x:c>
      <x:c r="D6" s="38" t="str">
        <x:v>Comercial Eléctrica Canarias, S.A. / Sánchez Arencibia, S.A.</x:v>
      </x:c>
      <x:c r="E6" s="38" t="str">
        <x:v>Sánchez Arencibia, S.A.</x:v>
      </x:c>
      <x:c r="F6" s="99" t="n">
        <x:v>99.82</x:v>
      </x:c>
      <x:c r="G6" s="38" t="str">
        <x:v>Comercial Eléctrica Canarias, S.A.</x:v>
      </x:c>
      <x:c r="H6" s="99" t="n">
        <x:v>119</x:v>
      </x:c>
      <x:c r="I6" s="99" t="n">
        <x:v>19.180000000000007</x:v>
      </x:c>
      <x:c r="J6" s="100" t="n">
        <x:v>0.16117647058823534</x:v>
      </x:c>
      <x:c r="K6" s="38" t="str">
        <x:v>Factura F/230,238</x:v>
      </x:c>
      <x:c r="L6" s="38" t="str">
        <x:v>30/09/2025</x:v>
      </x:c>
      <x:c r="M6" s="38" t="str">
        <x:v>Albarán TF 526,780 (17/09/2025)</x:v>
      </x:c>
      <x:c r="N6" s="38" t="str">
        <x:v>Misma medida/rollo 20 m en código o descripción.</x:v>
      </x:c>
    </x:row>
    <x:row r="7">
      <x:c r="A7" s="38" t="str">
        <x:v>Tubo cobre aislado bitubo 1/4 + 3/8, rollo 20 m</x:v>
      </x:c>
      <x:c r="B7" s="38" t="str">
        <x:v>Alta</x:v>
      </x:c>
      <x:c r="C7" s="38" t="n">
        <x:v>2</x:v>
      </x:c>
      <x:c r="D7" s="38" t="str">
        <x:v>Comercial Santana Alemán y González, S.L. (Grupo SAG) / Sánchez Arencibia, S.A.</x:v>
      </x:c>
      <x:c r="E7" s="38" t="str">
        <x:v>Sánchez Arencibia, S.A.</x:v>
      </x:c>
      <x:c r="F7" s="99" t="n">
        <x:v>86.45</x:v>
      </x:c>
      <x:c r="G7" s="38" t="str">
        <x:v>Comercial Santana Alemán y González, S.L. (Grupo SAG)</x:v>
      </x:c>
      <x:c r="H7" s="99" t="n">
        <x:v>110</x:v>
      </x:c>
      <x:c r="I7" s="99" t="n">
        <x:v>23.549999999999997</x:v>
      </x:c>
      <x:c r="J7" s="100" t="n">
        <x:v>0.21409090909090905</x:v>
      </x:c>
      <x:c r="K7" s="38" t="str">
        <x:v>Factura F/230,238</x:v>
      </x:c>
      <x:c r="L7" s="38" t="str">
        <x:v>30/09/2025</x:v>
      </x:c>
      <x:c r="M7" s="38" t="str">
        <x:v>Albarán TF 526,780 (17/09/2025)</x:v>
      </x:c>
      <x:c r="N7" s="38" t="str">
        <x:v>Misma medida/rollo 20 m en código o descripción.</x:v>
      </x:c>
    </x:row>
    <x:row r="8">
      <x:c r="A8" s="38" t="str">
        <x:v>Cinta aluminio rollo 75 mm x 45 m</x:v>
      </x:c>
      <x:c r="B8" s="38" t="str">
        <x:v>Media</x:v>
      </x:c>
      <x:c r="C8" s="38" t="n">
        <x:v>2</x:v>
      </x:c>
      <x:c r="D8" s="38" t="str">
        <x:v>Comercial Santana Alemán y González, S.L. (Grupo SAG) / Sánchez Arencibia, S.A.</x:v>
      </x:c>
      <x:c r="E8" s="38" t="str">
        <x:v>Sánchez Arencibia, S.A.</x:v>
      </x:c>
      <x:c r="F8" s="99" t="n">
        <x:v>7.075</x:v>
      </x:c>
      <x:c r="G8" s="38" t="str">
        <x:v>Comercial Santana Alemán y González, S.L. (Grupo SAG)</x:v>
      </x:c>
      <x:c r="H8" s="99" t="n">
        <x:v>7.45</x:v>
      </x:c>
      <x:c r="I8" s="99" t="n">
        <x:v>0.375</x:v>
      </x:c>
      <x:c r="J8" s="100" t="n">
        <x:v>0.050335570469798654</x:v>
      </x:c>
      <x:c r="K8" s="38" t="str">
        <x:v>Factura F/232,781</x:v>
      </x:c>
      <x:c r="L8" s="38" t="str">
        <x:v>31/01/2026</x:v>
      </x:c>
      <x:c r="M8" s="38" t="str">
        <x:v>Albarán TF 532,847 (14/01/2026)</x:v>
      </x:c>
      <x:c r="N8" s="38" t="str">
        <x:v>Comparar antes de comprar: aparece con distinta micra/espesor en la descripción.</x:v>
      </x:c>
    </x:row>
    <x:row r="9">
      <x:c r="A9" s="38" t="str">
        <x:v>Soporte condensadora / soporte soldado 500 mm</x:v>
      </x:c>
      <x:c r="B9" s="38" t="str">
        <x:v>Media</x:v>
      </x:c>
      <x:c r="C9" s="38" t="n">
        <x:v>2</x:v>
      </x:c>
      <x:c r="D9" s="38" t="str">
        <x:v>Comercial Eléctrica Canarias, S.A. / Sánchez Arencibia, S.A.</x:v>
      </x:c>
      <x:c r="E9" s="38" t="str">
        <x:v>Sánchez Arencibia, S.A.</x:v>
      </x:c>
      <x:c r="F9" s="99" t="n">
        <x:v>7.13</x:v>
      </x:c>
      <x:c r="G9" s="38" t="str">
        <x:v>Comercial Eléctrica Canarias, S.A.</x:v>
      </x:c>
      <x:c r="H9" s="99" t="n">
        <x:v>9.35</x:v>
      </x:c>
      <x:c r="I9" s="99" t="n">
        <x:v>2.2199999999999998</x:v>
      </x:c>
      <x:c r="J9" s="100" t="n">
        <x:v>0.2374331550802139</x:v>
      </x:c>
      <x:c r="K9" s="38" t="str">
        <x:v>Factura F/234,515</x:v>
      </x:c>
      <x:c r="L9" s="38" t="str">
        <x:v>30/04/2026</x:v>
      </x:c>
      <x:c r="M9" s="38" t="str">
        <x:v>Albarán TF 537,491 (23/04/2026)</x:v>
      </x:c>
      <x:c r="N9" s="38" t="str">
        <x:v>Parece comparable por uso/medida, pero revisar ficha exacta.</x:v>
      </x:c>
    </x:row>
    <x:row r="10">
      <x:c r="A10" s="38" t="str">
        <x:v>Amortiguadores / kit antivibración</x:v>
      </x:c>
      <x:c r="B10" s="38" t="str">
        <x:v>Media-Baja</x:v>
      </x:c>
      <x:c r="C10" s="38" t="n">
        <x:v>3</x:v>
      </x:c>
      <x:c r="D10" s="38" t="str">
        <x:v>Comercial Eléctrica Canarias, S.A. / Comercial Santana Alemán y González, S.L. (Grupo SAG) / Sánchez Arencibia, S.A.</x:v>
      </x:c>
      <x:c r="E10" s="38" t="str">
        <x:v>Sánchez Arencibia, S.A.</x:v>
      </x:c>
      <x:c r="F10" s="99" t="n">
        <x:v>1.2</x:v>
      </x:c>
      <x:c r="G10" s="38" t="str">
        <x:v>Comercial Eléctrica Canarias, S.A.</x:v>
      </x:c>
      <x:c r="H10" s="99" t="n">
        <x:v>1.8</x:v>
      </x:c>
      <x:c r="I10" s="99" t="n">
        <x:v>0.6000000000000001</x:v>
      </x:c>
      <x:c r="J10" s="100" t="n">
        <x:v>0.33333333333333337</x:v>
      </x:c>
      <x:c r="K10" s="38" t="str">
        <x:v>Factura F/234,515</x:v>
      </x:c>
      <x:c r="L10" s="38" t="str">
        <x:v>30/04/2026</x:v>
      </x:c>
      <x:c r="M10" s="38" t="str">
        <x:v>Albarán TF 537,491 (23/04/2026)</x:v>
      </x:c>
      <x:c r="N10" s="38" t="str">
        <x:v>Misma familia; revisar modelo/carga exacta antes de decidir.</x:v>
      </x:c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</x:row>
    <x:row r="14">
      <x:c r="A14" s="98" t="str">
        <x:v>Familias repetidas pero NO comparadas directamente</x:v>
      </x:c>
      <x:c r="B14" s="98" t="str">
        <x:v>Motivo</x:v>
      </x:c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</x:row>
    <x:row r="15">
      <x:c r="A15" s="38" t="str">
        <x:v>Canaletas y accesorios</x:v>
      </x:c>
      <x:c r="B15" s="38" t="str">
        <x:v>Aparecen en varios proveedores, pero con medidas distintas: 32x16, 60x80, 65x50, 125x75, etc.</x:v>
      </x:c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</x:row>
    <x:row r="16">
      <x:c r="A16" s="38" t="str">
        <x:v>Ángulos de canaleta</x:v>
      </x:c>
      <x:c r="B16" s="38" t="str">
        <x:v>Aparecen en varios proveedores, pero con medidas distintas: 32x16, 60x80, 90x65, 125x75, etc.</x:v>
      </x:c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</x:row>
    <x:row r="17">
      <x:c r="A17" s="38" t="str">
        <x:v>Material eléctrico GEW/SCH/EFA/etc.</x:v>
      </x:c>
      <x:c r="B17" s="38" t="str">
        <x:v>Muchos artículos se repiten dentro de Comercial Eléctrica, pero no aparecen en otros proveedores con descripción comparable.</x:v>
      </x:c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</x:row>
  </x:sheetData>
  <x:pageMargins left="0.7" right="0.7" top="0.75" bottom="0.75" header="0.3" footer="0.3"/>
  <x:tableParts count="1">
    <x:tablePart xmlns:r="http://schemas.openxmlformats.org/officeDocument/2006/relationships" r:id="R139f6ba18e2041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44" hidden="0" customWidth="1"/>
    <x:col min="5" max="5" width="32" hidden="0" customWidth="1"/>
    <x:col min="6" max="6" width="14" hidden="0" customWidth="1"/>
    <x:col min="7" max="7" width="32" hidden="0" customWidth="1"/>
    <x:col min="8" max="8" width="14" hidden="0" customWidth="1"/>
    <x:col min="9" max="9" width="13" hidden="0" customWidth="1"/>
    <x:col min="10" max="10" width="11" hidden="0" customWidth="1"/>
    <x:col min="11" max="11" width="24" hidden="0" customWidth="1"/>
    <x:col min="12" max="12" width="12" hidden="0" customWidth="1"/>
    <x:col min="13" max="13" width="30" hidden="0" customWidth="1"/>
    <x:col min="14" max="14" width="58" hidden="0" customWidth="1"/>
    <x:col min="15" max="15" width="58" hidden="0" customWidth="1"/>
  </x:cols>
  <x:sheetData>
    <x:row r="1">
      <x:c r="A1" s="91" t="str">
        <x:v>Producto comparable</x:v>
      </x:c>
      <x:c r="B1" s="91" t="str">
        <x:v>Confianza</x:v>
      </x:c>
      <x:c r="C1" s="91" t="str">
        <x:v>Proveedor</x:v>
      </x:c>
      <x:c r="D1" s="91" t="str">
        <x:v>Documento</x:v>
      </x:c>
      <x:c r="E1" s="91" t="str">
        <x:v>Fecha</x:v>
      </x:c>
      <x:c r="F1" s="91" t="str">
        <x:v>Referencia</x:v>
      </x:c>
      <x:c r="G1" s="91" t="str">
        <x:v>Código</x:v>
      </x:c>
      <x:c r="H1" s="91" t="str">
        <x:v>Descripción original</x:v>
      </x:c>
      <x:c r="I1" s="91" t="str">
        <x:v>Cantidad</x:v>
      </x:c>
      <x:c r="J1" s="91" t="str">
        <x:v>Precio Ud. bruto</x:v>
      </x:c>
      <x:c r="K1" s="91" t="str">
        <x:v>Dto %</x:v>
      </x:c>
      <x:c r="L1" s="91" t="str">
        <x:v>Precio neto ud.</x:v>
      </x:c>
      <x:c r="M1" s="91" t="str">
        <x:v>Total línea</x:v>
      </x:c>
      <x:c r="N1" s="91" t="str">
        <x:v>IGIC %</x:v>
      </x:c>
      <x:c r="O1" s="91" t="str">
        <x:v>Observaciones</x:v>
      </x:c>
    </x:row>
    <x:row r="2">
      <x:c r="A2" s="38" t="str">
        <x:v>Tubo cobre aislado bitubo 1/4 + 1/2, rollo 20 m</x:v>
      </x:c>
      <x:c r="B2" s="38" t="str">
        <x:v>Alta</x:v>
      </x:c>
      <x:c r="C2" s="38" t="str">
        <x:v>Comercial Eléctrica Canarias, S.A.</x:v>
      </x:c>
      <x:c r="D2" s="38" t="str">
        <x:v>Factura 92320225</x:v>
      </x:c>
      <x:c r="E2" s="38" t="str">
        <x:v>15/06/2025</x:v>
      </x:c>
      <x:c r="F2" s="38" t="str">
        <x:v>Albarán 202.597/020 (12/06/2025)</x:v>
      </x:c>
      <x:c r="G2" s="38" t="str">
        <x:v>ESC-TF01453 / 7010401</x:v>
      </x:c>
      <x:c r="H2" s="38" t="str">
        <x:v>TUBO FRIGORIF.1/4+1/2 ROLL.20M</x:v>
      </x:c>
      <x:c r="I2" s="101" t="n">
        <x:v>1</x:v>
      </x:c>
      <x:c r="J2" s="102" t="n">
        <x:v>119</x:v>
      </x:c>
      <x:c r="K2" s="100" t="n">
        <x:v>0</x:v>
      </x:c>
      <x:c r="L2" s="99" t="n">
        <x:v>119</x:v>
      </x:c>
      <x:c r="M2" s="99" t="n">
        <x:v>119</x:v>
      </x:c>
      <x:c r="N2" s="38" t="n">
        <x:v>0.07</x:v>
      </x:c>
      <x:c r="O2" s="38" t="str">
        <x:v>Misma medida/rollo 20 m en código o descripción.</x:v>
      </x:c>
    </x:row>
    <x:row r="3">
      <x:c r="A3" s="38" t="str">
        <x:v>Tubo cobre aislado bitubo 1/4 + 1/2, rollo 20 m</x:v>
      </x:c>
      <x:c r="B3" s="38" t="str">
        <x:v>Alta</x:v>
      </x:c>
      <x:c r="C3" s="38" t="str">
        <x:v>Sánchez Arencibia, S.A.</x:v>
      </x:c>
      <x:c r="D3" s="38" t="str">
        <x:v>Factura F/230,238</x:v>
      </x:c>
      <x:c r="E3" s="38" t="str">
        <x:v>30/09/2025</x:v>
      </x:c>
      <x:c r="F3" s="38" t="str">
        <x:v>Albarán TF 526,780 (17/09/2025)</x:v>
      </x:c>
      <x:c r="G3" s="38" t="str">
        <x:v>BIPOL. 1/4+1/2</x:v>
      </x:c>
      <x:c r="H3" s="38" t="str">
        <x:v>TUBO COBRE AISL. 20 MTS</x:v>
      </x:c>
      <x:c r="I3" s="101" t="n">
        <x:v>2</x:v>
      </x:c>
      <x:c r="J3" s="102" t="n">
        <x:v>142.6</x:v>
      </x:c>
      <x:c r="K3" s="100" t="n">
        <x:v>0.3</x:v>
      </x:c>
      <x:c r="L3" s="99" t="n">
        <x:v>99.82</x:v>
      </x:c>
      <x:c r="M3" s="99" t="n">
        <x:v>199.64</x:v>
      </x:c>
      <x:c r="N3" s="38" t="n">
        <x:v>0.07</x:v>
      </x:c>
      <x:c r="O3" s="38" t="str">
        <x:v>Misma medida/rollo 20 m en código o descripción.</x:v>
      </x:c>
    </x:row>
    <x:row r="4">
      <x:c r="A4" s="38" t="str">
        <x:v>Tubo cobre aislado bitubo 1/4 + 1/2, rollo 20 m</x:v>
      </x:c>
      <x:c r="B4" s="38" t="str">
        <x:v>Alta</x:v>
      </x:c>
      <x:c r="C4" s="38" t="str">
        <x:v>Sánchez Arencibia, S.A.</x:v>
      </x:c>
      <x:c r="D4" s="38" t="str">
        <x:v>Factura F/232,781</x:v>
      </x:c>
      <x:c r="E4" s="38" t="str">
        <x:v>31/01/2026</x:v>
      </x:c>
      <x:c r="F4" s="38" t="str">
        <x:v>Albarán TF 533,564 (29/01/2026)</x:v>
      </x:c>
      <x:c r="G4" s="38" t="str">
        <x:v>BIPOL. 1/4+1/2</x:v>
      </x:c>
      <x:c r="H4" s="38" t="str">
        <x:v>TUBO COBRE AISL 20 MT</x:v>
      </x:c>
      <x:c r="I4" s="101" t="n">
        <x:v>1</x:v>
      </x:c>
      <x:c r="J4" s="102" t="n">
        <x:v>156</x:v>
      </x:c>
      <x:c r="K4" s="100" t="n">
        <x:v>0.3</x:v>
      </x:c>
      <x:c r="L4" s="99" t="n">
        <x:v>109.2</x:v>
      </x:c>
      <x:c r="M4" s="99" t="n">
        <x:v>109.2</x:v>
      </x:c>
      <x:c r="N4" s="38" t="n">
        <x:v>0.07</x:v>
      </x:c>
      <x:c r="O4" s="38" t="str">
        <x:v>Misma medida/rollo 20 m en código o descripción.</x:v>
      </x:c>
    </x:row>
    <x:row r="5">
      <x:c r="A5" s="38" t="str">
        <x:v>Tubo cobre aislado bitubo 1/4 + 1/2, rollo 20 m</x:v>
      </x:c>
      <x:c r="B5" s="38" t="str">
        <x:v>Alta</x:v>
      </x:c>
      <x:c r="C5" s="38" t="str">
        <x:v>Sánchez Arencibia, S.A.</x:v>
      </x:c>
      <x:c r="D5" s="38" t="str">
        <x:v>Factura F/232,781</x:v>
      </x:c>
      <x:c r="E5" s="38" t="str">
        <x:v>31/01/2026</x:v>
      </x:c>
      <x:c r="F5" s="38" t="str">
        <x:v>Albarán TF 532,651 (12/01/2026)</x:v>
      </x:c>
      <x:c r="G5" s="38" t="str">
        <x:v>BIPOL. 1/4+1/2</x:v>
      </x:c>
      <x:c r="H5" s="38" t="str">
        <x:v>TUBO COBRE AISL. 20 MTS</x:v>
      </x:c>
      <x:c r="I5" s="101" t="n">
        <x:v>1</x:v>
      </x:c>
      <x:c r="J5" s="102" t="n">
        <x:v>156</x:v>
      </x:c>
      <x:c r="K5" s="100" t="n">
        <x:v>0.3</x:v>
      </x:c>
      <x:c r="L5" s="99" t="n">
        <x:v>109.2</x:v>
      </x:c>
      <x:c r="M5" s="99" t="n">
        <x:v>109.2</x:v>
      </x:c>
      <x:c r="N5" s="38" t="n">
        <x:v>0.07</x:v>
      </x:c>
      <x:c r="O5" s="38" t="str">
        <x:v>Misma medida/rollo 20 m en código o descripción.</x:v>
      </x:c>
    </x:row>
    <x:row r="6">
      <x:c r="A6" s="38" t="str">
        <x:v>Tubo cobre aislado bitubo 1/4 + 1/2, rollo 20 m</x:v>
      </x:c>
      <x:c r="B6" s="38" t="str">
        <x:v>Alta</x:v>
      </x:c>
      <x:c r="C6" s="38" t="str">
        <x:v>Sánchez Arencibia, S.A.</x:v>
      </x:c>
      <x:c r="D6" s="38" t="str">
        <x:v>Factura F/232,781</x:v>
      </x:c>
      <x:c r="E6" s="38" t="str">
        <x:v>31/01/2026</x:v>
      </x:c>
      <x:c r="F6" s="38" t="str">
        <x:v>Abono TF 532,994 (16/01/2026) Ref. F/232,781</x:v>
      </x:c>
      <x:c r="G6" s="38" t="str">
        <x:v>BIPOL. 1/4+1/2</x:v>
      </x:c>
      <x:c r="H6" s="38" t="str">
        <x:v>TUBO COBRE AISL. 20 MTS</x:v>
      </x:c>
      <x:c r="I6" s="101" t="n">
        <x:v>-1</x:v>
      </x:c>
      <x:c r="J6" s="102" t="n">
        <x:v>156</x:v>
      </x:c>
      <x:c r="K6" s="100" t="n">
        <x:v>0.3</x:v>
      </x:c>
      <x:c r="L6" s="99" t="n">
        <x:v>109.2</x:v>
      </x:c>
      <x:c r="M6" s="99" t="n">
        <x:v>-109.2</x:v>
      </x:c>
      <x:c r="N6" s="38" t="n">
        <x:v>0.07</x:v>
      </x:c>
      <x:c r="O6" s="38" t="str">
        <x:v>Misma medida/rollo 20 m en código o descripción.</x:v>
      </x:c>
    </x:row>
    <x:row r="7">
      <x:c r="A7" s="38" t="str">
        <x:v>Tubo cobre aislado bitubo 1/4 + 3/8, rollo 20 m</x:v>
      </x:c>
      <x:c r="B7" s="38" t="str">
        <x:v>Alta</x:v>
      </x:c>
      <x:c r="C7" s="38" t="str">
        <x:v>Comercial Santana Alemán y González, S.L. (Grupo SAG)</x:v>
      </x:c>
      <x:c r="D7" s="38" t="str">
        <x:v>Presupuesto TF/26001424</x:v>
      </x:c>
      <x:c r="E7" s="38" t="str">
        <x:v>25/04/2026</x:v>
      </x:c>
      <x:c r="F7" s="38" t="str">
        <x:v>INDEX CLIMA MPC, S.L.</x:v>
      </x:c>
      <x:c r="G7" s="38" t="str">
        <x:v>4002053</x:v>
      </x:c>
      <x:c r="H7" s="38" t="str">
        <x:v>ROLLO TUBERIA DE COBRE PREAISLADO BITUBO 1/4 X 3/8 20 M.</x:v>
      </x:c>
      <x:c r="I7" s="101" t="n">
        <x:v>2</x:v>
      </x:c>
      <x:c r="J7" s="102" t="n">
        <x:v>110</x:v>
      </x:c>
      <x:c r="K7" s="100" t="n">
        <x:v>0</x:v>
      </x:c>
      <x:c r="L7" s="99" t="n">
        <x:v>110</x:v>
      </x:c>
      <x:c r="M7" s="99" t="n">
        <x:v>220</x:v>
      </x:c>
      <x:c r="N7" s="38" t="n">
        <x:v>0.07</x:v>
      </x:c>
      <x:c r="O7" s="38" t="str">
        <x:v>Misma medida/rollo 20 m en código o descripción.</x:v>
      </x:c>
    </x:row>
    <x:row r="8">
      <x:c r="A8" s="38" t="str">
        <x:v>Tubo cobre aislado bitubo 1/4 + 3/8, rollo 20 m</x:v>
      </x:c>
      <x:c r="B8" s="38" t="str">
        <x:v>Alta</x:v>
      </x:c>
      <x:c r="C8" s="38" t="str">
        <x:v>Comercial Santana Alemán y González, S.L. (Grupo SAG)</x:v>
      </x:c>
      <x:c r="D8" s="38" t="str">
        <x:v>Factura FM/6631</x:v>
      </x:c>
      <x:c r="E8" s="38" t="str">
        <x:v>31/03/2026</x:v>
      </x:c>
      <x:c r="F8" s="38" t="str">
        <x:v>Albarán NT/26.000.673</x:v>
      </x:c>
      <x:c r="G8" s="38" t="str">
        <x:v>4002053</x:v>
      </x:c>
      <x:c r="H8" s="38" t="str">
        <x:v>ROLLO TUBERIA DE COBRE PREAISLADO BITUBO 1/4 X 3/8 20 M.</x:v>
      </x:c>
      <x:c r="I8" s="101" t="n">
        <x:v>2</x:v>
      </x:c>
      <x:c r="J8" s="102" t="n">
        <x:v>110</x:v>
      </x:c>
      <x:c r="K8" s="100" t="n">
        <x:v>0</x:v>
      </x:c>
      <x:c r="L8" s="99" t="n">
        <x:v>110</x:v>
      </x:c>
      <x:c r="M8" s="99" t="n">
        <x:v>220</x:v>
      </x:c>
      <x:c r="N8" s="38" t="n">
        <x:v>0.07</x:v>
      </x:c>
      <x:c r="O8" s="38" t="str">
        <x:v>Misma medida/rollo 20 m en código o descripción.</x:v>
      </x:c>
    </x:row>
    <x:row r="9">
      <x:c r="A9" s="38" t="str">
        <x:v>Tubo cobre aislado bitubo 1/4 + 3/8, rollo 20 m</x:v>
      </x:c>
      <x:c r="B9" s="38" t="str">
        <x:v>Alta</x:v>
      </x:c>
      <x:c r="C9" s="38" t="str">
        <x:v>Comercial Santana Alemán y González, S.L. (Grupo SAG)</x:v>
      </x:c>
      <x:c r="D9" s="38" t="str">
        <x:v>Factura FM/6941</x:v>
      </x:c>
      <x:c r="E9" s="38" t="str">
        <x:v>31/05/2026</x:v>
      </x:c>
      <x:c r="F9" s="38" t="str">
        <x:v>Albarán NT/26.001.424 (LA BARANDA)</x:v>
      </x:c>
      <x:c r="G9" s="38" t="str">
        <x:v>4002053</x:v>
      </x:c>
      <x:c r="H9" s="38" t="str">
        <x:v>ROLLO TUBERIA COBRE PREAISLADO BITUBO 1/4 X 3/8 20 M.</x:v>
      </x:c>
      <x:c r="I9" s="101" t="n">
        <x:v>1</x:v>
      </x:c>
      <x:c r="J9" s="102" t="n">
        <x:v>110</x:v>
      </x:c>
      <x:c r="K9" s="100" t="n">
        <x:v>0</x:v>
      </x:c>
      <x:c r="L9" s="99" t="n">
        <x:v>110</x:v>
      </x:c>
      <x:c r="M9" s="99" t="n">
        <x:v>110</x:v>
      </x:c>
      <x:c r="N9" s="38" t="n">
        <x:v>0.07</x:v>
      </x:c>
      <x:c r="O9" s="38" t="str">
        <x:v>Misma medida/rollo 20 m en código o descripción.</x:v>
      </x:c>
    </x:row>
    <x:row r="10">
      <x:c r="A10" s="38" t="str">
        <x:v>Tubo cobre aislado bitubo 1/4 + 3/8, rollo 20 m</x:v>
      </x:c>
      <x:c r="B10" s="38" t="str">
        <x:v>Alta</x:v>
      </x:c>
      <x:c r="C10" s="38" t="str">
        <x:v>Sánchez Arencibia, S.A.</x:v>
      </x:c>
      <x:c r="D10" s="38" t="str">
        <x:v>Factura F/234,515</x:v>
      </x:c>
      <x:c r="E10" s="38" t="str">
        <x:v>30/04/2026</x:v>
      </x:c>
      <x:c r="F10" s="38" t="str">
        <x:v>Albarán TF 536,867 (13/04/2026)</x:v>
      </x:c>
      <x:c r="G10" s="38" t="str">
        <x:v>BIPOL. 1/4+3/8</x:v>
      </x:c>
      <x:c r="H10" s="38" t="str">
        <x:v>TUBO COBRE AISL 20 MT</x:v>
      </x:c>
      <x:c r="I10" s="101" t="n">
        <x:v>3</x:v>
      </x:c>
      <x:c r="J10" s="102" t="n">
        <x:v>139.12</x:v>
      </x:c>
      <x:c r="K10" s="100" t="n">
        <x:v>0.3</x:v>
      </x:c>
      <x:c r="L10" s="99" t="n">
        <x:v>97.38333333333333</x:v>
      </x:c>
      <x:c r="M10" s="99" t="n">
        <x:v>292.15</x:v>
      </x:c>
      <x:c r="N10" s="38" t="n">
        <x:v>0.07</x:v>
      </x:c>
      <x:c r="O10" s="38" t="str">
        <x:v>Misma medida/rollo 20 m en código o descripción.</x:v>
      </x:c>
    </x:row>
    <x:row r="11">
      <x:c r="A11" s="38" t="str">
        <x:v>Tubo cobre aislado bitubo 1/4 + 3/8, rollo 20 m</x:v>
      </x:c>
      <x:c r="B11" s="38" t="str">
        <x:v>Alta</x:v>
      </x:c>
      <x:c r="C11" s="38" t="str">
        <x:v>Sánchez Arencibia, S.A.</x:v>
      </x:c>
      <x:c r="D11" s="38" t="str">
        <x:v>Factura F/234,515</x:v>
      </x:c>
      <x:c r="E11" s="38" t="str">
        <x:v>30/04/2026</x:v>
      </x:c>
      <x:c r="F11" s="38" t="str">
        <x:v>Albarán TF 537,529 (24/04/2026)</x:v>
      </x:c>
      <x:c r="G11" s="38" t="str">
        <x:v>BIPOL. 1/4+3/8</x:v>
      </x:c>
      <x:c r="H11" s="38" t="str">
        <x:v>TUBO COBRE AISL 20 MT</x:v>
      </x:c>
      <x:c r="I11" s="101" t="n">
        <x:v>1</x:v>
      </x:c>
      <x:c r="J11" s="102" t="n">
        <x:v>139.12</x:v>
      </x:c>
      <x:c r="K11" s="100" t="n">
        <x:v>0.3</x:v>
      </x:c>
      <x:c r="L11" s="99" t="n">
        <x:v>97.38</x:v>
      </x:c>
      <x:c r="M11" s="99" t="n">
        <x:v>97.38</x:v>
      </x:c>
      <x:c r="N11" s="38" t="n">
        <x:v>0.07</x:v>
      </x:c>
      <x:c r="O11" s="38" t="str">
        <x:v>Misma medida/rollo 20 m en código o descripción.</x:v>
      </x:c>
    </x:row>
    <x:row r="12">
      <x:c r="A12" s="38" t="str">
        <x:v>Tubo cobre aislado bitubo 1/4 + 3/8, rollo 20 m</x:v>
      </x:c>
      <x:c r="B12" s="38" t="str">
        <x:v>Alta</x:v>
      </x:c>
      <x:c r="C12" s="38" t="str">
        <x:v>Sánchez Arencibia, S.A.</x:v>
      </x:c>
      <x:c r="D12" s="38" t="str">
        <x:v>Factura F/230,238</x:v>
      </x:c>
      <x:c r="E12" s="38" t="str">
        <x:v>30/09/2025</x:v>
      </x:c>
      <x:c r="F12" s="38" t="str">
        <x:v>Albarán TF 526,780 (17/09/2025)</x:v>
      </x:c>
      <x:c r="G12" s="38" t="str">
        <x:v>BIPOL. 1/4+3/8</x:v>
      </x:c>
      <x:c r="H12" s="38" t="str">
        <x:v>TUBO COBRE AISL. 20 MTS</x:v>
      </x:c>
      <x:c r="I12" s="101" t="n">
        <x:v>4</x:v>
      </x:c>
      <x:c r="J12" s="102" t="n">
        <x:v>123.5</x:v>
      </x:c>
      <x:c r="K12" s="100" t="n">
        <x:v>0.3</x:v>
      </x:c>
      <x:c r="L12" s="99" t="n">
        <x:v>86.45</x:v>
      </x:c>
      <x:c r="M12" s="99" t="n">
        <x:v>345.8</x:v>
      </x:c>
      <x:c r="N12" s="38" t="n">
        <x:v>0.07</x:v>
      </x:c>
      <x:c r="O12" s="38" t="str">
        <x:v>Misma medida/rollo 20 m en código o descripción.</x:v>
      </x:c>
    </x:row>
    <x:row r="13">
      <x:c r="A13" s="38" t="str">
        <x:v>Tubo cobre aislado bitubo 1/4 + 3/8, rollo 20 m</x:v>
      </x:c>
      <x:c r="B13" s="38" t="str">
        <x:v>Alta</x:v>
      </x:c>
      <x:c r="C13" s="38" t="str">
        <x:v>Sánchez Arencibia, S.A.</x:v>
      </x:c>
      <x:c r="D13" s="38" t="str">
        <x:v>Factura F/232,781</x:v>
      </x:c>
      <x:c r="E13" s="38" t="str">
        <x:v>31/01/2026</x:v>
      </x:c>
      <x:c r="F13" s="38" t="str">
        <x:v>Albarán TF 533,564 (29/01/2026)</x:v>
      </x:c>
      <x:c r="G13" s="38" t="str">
        <x:v>BIPOL. 1/4+3/8</x:v>
      </x:c>
      <x:c r="H13" s="38" t="str">
        <x:v>TUBO COBRE AISL 20 MT</x:v>
      </x:c>
      <x:c r="I13" s="101" t="n">
        <x:v>1</x:v>
      </x:c>
      <x:c r="J13" s="102" t="n">
        <x:v>132.3</x:v>
      </x:c>
      <x:c r="K13" s="100" t="n">
        <x:v>0.3</x:v>
      </x:c>
      <x:c r="L13" s="99" t="n">
        <x:v>92.61</x:v>
      </x:c>
      <x:c r="M13" s="99" t="n">
        <x:v>92.61</x:v>
      </x:c>
      <x:c r="N13" s="38" t="n">
        <x:v>0.07</x:v>
      </x:c>
      <x:c r="O13" s="38" t="str">
        <x:v>Misma medida/rollo 20 m en código o descripción.</x:v>
      </x:c>
    </x:row>
    <x:row r="14">
      <x:c r="A14" s="38" t="str">
        <x:v>Tubo cobre aislado bitubo 1/4 + 3/8, rollo 20 m</x:v>
      </x:c>
      <x:c r="B14" s="38" t="str">
        <x:v>Alta</x:v>
      </x:c>
      <x:c r="C14" s="38" t="str">
        <x:v>Sánchez Arencibia, S.A.</x:v>
      </x:c>
      <x:c r="D14" s="38" t="str">
        <x:v>Factura F/232,781</x:v>
      </x:c>
      <x:c r="E14" s="38" t="str">
        <x:v>31/01/2026</x:v>
      </x:c>
      <x:c r="F14" s="38" t="str">
        <x:v>Albarán TF 532,522 (08/01/2026)</x:v>
      </x:c>
      <x:c r="G14" s="38" t="str">
        <x:v>BIPOL. 1/4+3/8</x:v>
      </x:c>
      <x:c r="H14" s="38" t="str">
        <x:v>TUBO COBRE AISL. 20 MTS</x:v>
      </x:c>
      <x:c r="I14" s="101" t="n">
        <x:v>4</x:v>
      </x:c>
      <x:c r="J14" s="102" t="n">
        <x:v>132.3</x:v>
      </x:c>
      <x:c r="K14" s="100" t="n">
        <x:v>0.3</x:v>
      </x:c>
      <x:c r="L14" s="99" t="n">
        <x:v>92.61</x:v>
      </x:c>
      <x:c r="M14" s="99" t="n">
        <x:v>370.44</x:v>
      </x:c>
      <x:c r="N14" s="38" t="n">
        <x:v>0.07</x:v>
      </x:c>
      <x:c r="O14" s="38" t="str">
        <x:v>Misma medida/rollo 20 m en código o descripción.</x:v>
      </x:c>
    </x:row>
    <x:row r="15">
      <x:c r="A15" s="38" t="str">
        <x:v>Tubo cobre aislado bitubo 1/4 + 3/8, rollo 20 m</x:v>
      </x:c>
      <x:c r="B15" s="38" t="str">
        <x:v>Alta</x:v>
      </x:c>
      <x:c r="C15" s="38" t="str">
        <x:v>Sánchez Arencibia, S.A.</x:v>
      </x:c>
      <x:c r="D15" s="38" t="str">
        <x:v>Factura F/233,933</x:v>
      </x:c>
      <x:c r="E15" s="38" t="str">
        <x:v>31/03/2026</x:v>
      </x:c>
      <x:c r="F15" s="38" t="str">
        <x:v>Albarán TF 535,403 (09/03/2026)</x:v>
      </x:c>
      <x:c r="G15" s="38" t="str">
        <x:v>BIPOL. 1/4+3/8</x:v>
      </x:c>
      <x:c r="H15" s="38" t="str">
        <x:v>TUBO COBRE AISL 20 MT</x:v>
      </x:c>
      <x:c r="I15" s="101" t="n">
        <x:v>5</x:v>
      </x:c>
      <x:c r="J15" s="102" t="n">
        <x:v>132.3</x:v>
      </x:c>
      <x:c r="K15" s="100" t="n">
        <x:v>0.3</x:v>
      </x:c>
      <x:c r="L15" s="99" t="n">
        <x:v>92.61</x:v>
      </x:c>
      <x:c r="M15" s="99" t="n">
        <x:v>463.05</x:v>
      </x:c>
      <x:c r="N15" s="38" t="n">
        <x:v>0.07</x:v>
      </x:c>
      <x:c r="O15" s="38" t="str">
        <x:v>Misma medida/rollo 20 m en código o descripción.</x:v>
      </x:c>
    </x:row>
    <x:row r="16">
      <x:c r="A16" s="38" t="str">
        <x:v>Cinta aluminio rollo 75 mm x 45 m</x:v>
      </x:c>
      <x:c r="B16" s="38" t="str">
        <x:v>Media</x:v>
      </x:c>
      <x:c r="C16" s="38" t="str">
        <x:v>Comercial Santana Alemán y González, S.L. (Grupo SAG)</x:v>
      </x:c>
      <x:c r="D16" s="38" t="str">
        <x:v>Albarán NT/26001505</x:v>
      </x:c>
      <x:c r="E16" s="38" t="str">
        <x:v>01/06/2026</x:v>
      </x:c>
      <x:c r="F16" s="38" t="str">
        <x:v>initen</x:v>
      </x:c>
      <x:c r="G16" s="38" t="str">
        <x:v>CTX40-4575</x:v>
      </x:c>
      <x:c r="H16" s="38" t="str">
        <x:v>CINTA ALUMINIO 75*45 METROS 40 MICRAS</x:v>
      </x:c>
      <x:c r="I16" s="101" t="n">
        <x:v>1</x:v>
      </x:c>
      <x:c r="J16" s="102" t="n">
        <x:v>12.41</x:v>
      </x:c>
      <x:c r="K16" s="100" t="n">
        <x:v>0.4</x:v>
      </x:c>
      <x:c r="L16" s="99" t="n">
        <x:v>7.45</x:v>
      </x:c>
      <x:c r="M16" s="99" t="n">
        <x:v>7.45</x:v>
      </x:c>
      <x:c r="N16" s="38" t="n">
        <x:v>0.07</x:v>
      </x:c>
      <x:c r="O16" s="38" t="str">
        <x:v>Comparar antes de comprar: aparece con distinta micra/espesor en la descripción.</x:v>
      </x:c>
    </x:row>
    <x:row r="17">
      <x:c r="A17" s="38" t="str">
        <x:v>Cinta aluminio rollo 75 mm x 45 m</x:v>
      </x:c>
      <x:c r="B17" s="38" t="str">
        <x:v>Media</x:v>
      </x:c>
      <x:c r="C17" s="38" t="str">
        <x:v>Sánchez Arencibia, S.A.</x:v>
      </x:c>
      <x:c r="D17" s="38" t="str">
        <x:v>Factura F/232,781</x:v>
      </x:c>
      <x:c r="E17" s="38" t="str">
        <x:v>31/01/2026</x:v>
      </x:c>
      <x:c r="F17" s="38" t="str">
        <x:v>Albarán TF 532,847 (14/01/2026)</x:v>
      </x:c>
      <x:c r="G17" s="38" t="str">
        <x:v>ALP 50 MICRAS 75MM</x:v>
      </x:c>
      <x:c r="H17" s="38" t="str">
        <x:v>CINTA ALUMINIO ROLLO 45 MT.</x:v>
      </x:c>
      <x:c r="I17" s="101" t="n">
        <x:v>2</x:v>
      </x:c>
      <x:c r="J17" s="102" t="n">
        <x:v>9.43</x:v>
      </x:c>
      <x:c r="K17" s="100" t="n">
        <x:v>0.25</x:v>
      </x:c>
      <x:c r="L17" s="99" t="n">
        <x:v>7.075</x:v>
      </x:c>
      <x:c r="M17" s="99" t="n">
        <x:v>14.15</x:v>
      </x:c>
      <x:c r="N17" s="38" t="n">
        <x:v>0.07</x:v>
      </x:c>
      <x:c r="O17" s="38" t="str">
        <x:v>Comparar antes de comprar: aparece con distinta micra/espesor en la descripción.</x:v>
      </x:c>
    </x:row>
    <x:row r="18">
      <x:c r="A18" s="38" t="str">
        <x:v>Soporte condensadora / soporte soldado 500 mm</x:v>
      </x:c>
      <x:c r="B18" s="38" t="str">
        <x:v>Media</x:v>
      </x:c>
      <x:c r="C18" s="38" t="str">
        <x:v>Comercial Eléctrica Canarias, S.A.</x:v>
      </x:c>
      <x:c r="D18" s="38" t="str">
        <x:v>Factura 92320225</x:v>
      </x:c>
      <x:c r="E18" s="38" t="str">
        <x:v>15/06/2025</x:v>
      </x:c>
      <x:c r="F18" s="38" t="str">
        <x:v>Albarán 202.597/020 (12/06/2025)</x:v>
      </x:c>
      <x:c r="G18" s="38" t="str">
        <x:v>1802-5000 / 7560103</x:v>
      </x:c>
      <x:c r="H18" s="38" t="str">
        <x:v>SOPORTE SOLDADO 500mm 75Kg.</x:v>
      </x:c>
      <x:c r="I18" s="101" t="n">
        <x:v>1</x:v>
      </x:c>
      <x:c r="J18" s="102" t="n">
        <x:v>9.346</x:v>
      </x:c>
      <x:c r="K18" s="100" t="n">
        <x:v>0</x:v>
      </x:c>
      <x:c r="L18" s="99" t="n">
        <x:v>9.35</x:v>
      </x:c>
      <x:c r="M18" s="99" t="n">
        <x:v>9.35</x:v>
      </x:c>
      <x:c r="N18" s="38" t="n">
        <x:v>0.07</x:v>
      </x:c>
      <x:c r="O18" s="38" t="str">
        <x:v>Parece comparable por uso/medida, pero revisar ficha exacta.</x:v>
      </x:c>
    </x:row>
    <x:row r="19">
      <x:c r="A19" s="38" t="str">
        <x:v>Soporte condensadora / soporte soldado 500 mm</x:v>
      </x:c>
      <x:c r="B19" s="38" t="str">
        <x:v>Media</x:v>
      </x:c>
      <x:c r="C19" s="38" t="str">
        <x:v>Sánchez Arencibia, S.A.</x:v>
      </x:c>
      <x:c r="D19" s="38" t="str">
        <x:v>Factura F/234,515</x:v>
      </x:c>
      <x:c r="E19" s="38" t="str">
        <x:v>30/04/2026</x:v>
      </x:c>
      <x:c r="F19" s="38" t="str">
        <x:v>Albarán TF 537,491 (23/04/2026)</x:v>
      </x:c>
      <x:c r="G19" s="38" t="str">
        <x:v>R-1600500</x:v>
      </x:c>
      <x:c r="H19" s="38" t="str">
        <x:v>SOPORTE CONDENSADORA</x:v>
      </x:c>
      <x:c r="I19" s="101" t="n">
        <x:v>1</x:v>
      </x:c>
      <x:c r="J19" s="102" t="n">
        <x:v>11.88</x:v>
      </x:c>
      <x:c r="K19" s="100" t="n">
        <x:v>0.4</x:v>
      </x:c>
      <x:c r="L19" s="99" t="n">
        <x:v>7.13</x:v>
      </x:c>
      <x:c r="M19" s="99" t="n">
        <x:v>7.13</x:v>
      </x:c>
      <x:c r="N19" s="38" t="n">
        <x:v>0.07</x:v>
      </x:c>
      <x:c r="O19" s="38" t="str">
        <x:v>Parece comparable por uso/medida, pero revisar ficha exacta.</x:v>
      </x:c>
    </x:row>
    <x:row r="20">
      <x:c r="A20" s="38" t="str">
        <x:v>Soporte condensadora / soporte soldado 500 mm</x:v>
      </x:c>
      <x:c r="B20" s="38" t="str">
        <x:v>Media</x:v>
      </x:c>
      <x:c r="C20" s="38" t="str">
        <x:v>Sánchez Arencibia, S.A.</x:v>
      </x:c>
      <x:c r="D20" s="38" t="str">
        <x:v>Factura F/234,515</x:v>
      </x:c>
      <x:c r="E20" s="38" t="str">
        <x:v>30/04/2026</x:v>
      </x:c>
      <x:c r="F20" s="38" t="str">
        <x:v>Albarán TF 537,663 (28/04/2026)</x:v>
      </x:c>
      <x:c r="G20" s="38" t="str">
        <x:v>R-1600500</x:v>
      </x:c>
      <x:c r="H20" s="38" t="str">
        <x:v>SOPORTE CONDENSADORA</x:v>
      </x:c>
      <x:c r="I20" s="101" t="n">
        <x:v>2</x:v>
      </x:c>
      <x:c r="J20" s="102" t="n">
        <x:v>11.88</x:v>
      </x:c>
      <x:c r="K20" s="100" t="n">
        <x:v>0.4</x:v>
      </x:c>
      <x:c r="L20" s="99" t="n">
        <x:v>7.13</x:v>
      </x:c>
      <x:c r="M20" s="99" t="n">
        <x:v>14.26</x:v>
      </x:c>
      <x:c r="N20" s="38" t="n">
        <x:v>0.07</x:v>
      </x:c>
      <x:c r="O20" s="38" t="str">
        <x:v>Parece comparable por uso/medida, pero revisar ficha exacta.</x:v>
      </x:c>
    </x:row>
    <x:row r="21">
      <x:c r="A21" s="38" t="str">
        <x:v>Soporte condensadora / soporte soldado 500 mm</x:v>
      </x:c>
      <x:c r="B21" s="38" t="str">
        <x:v>Media</x:v>
      </x:c>
      <x:c r="C21" s="38" t="str">
        <x:v>Sánchez Arencibia, S.A.</x:v>
      </x:c>
      <x:c r="D21" s="38" t="str">
        <x:v>Factura F/232,230</x:v>
      </x:c>
      <x:c r="E21" s="38" t="str">
        <x:v>31/12/2025</x:v>
      </x:c>
      <x:c r="F21" s="38" t="str">
        <x:v>Albarán TF 532,005 (18/12/2025)</x:v>
      </x:c>
      <x:c r="G21" s="38" t="str">
        <x:v>R-1600500</x:v>
      </x:c>
      <x:c r="H21" s="38" t="str">
        <x:v>SOPORTE CONDENSADORA</x:v>
      </x:c>
      <x:c r="I21" s="101" t="n">
        <x:v>1</x:v>
      </x:c>
      <x:c r="J21" s="102" t="n">
        <x:v>14.32</x:v>
      </x:c>
      <x:c r="K21" s="100" t="n">
        <x:v>0.4</x:v>
      </x:c>
      <x:c r="L21" s="99" t="n">
        <x:v>8.59</x:v>
      </x:c>
      <x:c r="M21" s="99" t="n">
        <x:v>8.59</x:v>
      </x:c>
      <x:c r="N21" s="38" t="n">
        <x:v>0.07</x:v>
      </x:c>
      <x:c r="O21" s="38" t="str">
        <x:v>Parece comparable por uso/medida, pero revisar ficha exacta.</x:v>
      </x:c>
    </x:row>
    <x:row r="22">
      <x:c r="A22" s="38" t="str">
        <x:v>Amortiguadores / kit antivibración</x:v>
      </x:c>
      <x:c r="B22" s="38" t="str">
        <x:v>Media-Baja</x:v>
      </x:c>
      <x:c r="C22" s="38" t="str">
        <x:v>Comercial Eléctrica Canarias, S.A.</x:v>
      </x:c>
      <x:c r="D22" s="38" t="str">
        <x:v>Factura 90624926</x:v>
      </x:c>
      <x:c r="E22" s="38" t="str">
        <x:v>15/02/2026</x:v>
      </x:c>
      <x:c r="F22" s="38" t="str">
        <x:v>Albarán 300.575/001 (06/02/2026)</x:v>
      </x:c>
      <x:c r="G22" s="38" t="str">
        <x:v>ESC-AS02112 / 7011001</x:v>
      </x:c>
      <x:c r="H22" s="38" t="str">
        <x:v>BOLSA AMORTIGUACION A-35 50K</x:v>
      </x:c>
      <x:c r="I22" s="101" t="n">
        <x:v>1</x:v>
      </x:c>
      <x:c r="J22" s="102" t="n">
        <x:v>1.8</x:v>
      </x:c>
      <x:c r="K22" s="100" t="n">
        <x:v>0</x:v>
      </x:c>
      <x:c r="L22" s="99" t="n">
        <x:v>1.8</x:v>
      </x:c>
      <x:c r="M22" s="99" t="n">
        <x:v>1.8</x:v>
      </x:c>
      <x:c r="N22" s="38" t="n">
        <x:v>0.07</x:v>
      </x:c>
      <x:c r="O22" s="38" t="str">
        <x:v>Misma familia; revisar modelo/carga exacta antes de decidir.</x:v>
      </x:c>
    </x:row>
    <x:row r="23">
      <x:c r="A23" s="38" t="str">
        <x:v>Amortiguadores / kit antivibración</x:v>
      </x:c>
      <x:c r="B23" s="38" t="str">
        <x:v>Media-Baja</x:v>
      </x:c>
      <x:c r="C23" s="38" t="str">
        <x:v>Comercial Santana Alemán y González, S.L. (Grupo SAG)</x:v>
      </x:c>
      <x:c r="D23" s="38" t="str">
        <x:v>Albarán NT/24002146</x:v>
      </x:c>
      <x:c r="E23" s="38" t="str">
        <x:v>26/07/2024</x:v>
      </x:c>
      <x:c r="F23" s="38" t="str">
        <x:v>TIENDA (EL CHORRILLO)</x:v>
      </x:c>
      <x:c r="G23" s="38" t="str">
        <x:v>649017</x:v>
      </x:c>
      <x:c r="H23" s="38" t="str">
        <x:v>JUEGO SOPORTE INSTALPACK S-40 AMORTIGUADOR SUELO</x:v>
      </x:c>
      <x:c r="I23" s="101" t="n">
        <x:v>1</x:v>
      </x:c>
      <x:c r="J23" s="102" t="n">
        <x:v>3.9</x:v>
      </x:c>
      <x:c r="K23" s="100" t="n">
        <x:v>0.4</x:v>
      </x:c>
      <x:c r="L23" s="99" t="n">
        <x:v>2.34</x:v>
      </x:c>
      <x:c r="M23" s="99" t="n">
        <x:v>2.34</x:v>
      </x:c>
      <x:c r="N23" s="38" t="n">
        <x:v>0.07</x:v>
      </x:c>
      <x:c r="O23" s="38" t="str">
        <x:v>Misma familia; revisar modelo/carga exacta antes de decidir.</x:v>
      </x:c>
    </x:row>
    <x:row r="24">
      <x:c r="A24" s="38" t="str">
        <x:v>Amortiguadores / kit antivibración</x:v>
      </x:c>
      <x:c r="B24" s="38" t="str">
        <x:v>Media-Baja</x:v>
      </x:c>
      <x:c r="C24" s="38" t="str">
        <x:v>Comercial Santana Alemán y González, S.L. (Grupo SAG)</x:v>
      </x:c>
      <x:c r="D24" s="38" t="str">
        <x:v>Factura FM/6941</x:v>
      </x:c>
      <x:c r="E24" s="38" t="str">
        <x:v>31/05/2026</x:v>
      </x:c>
      <x:c r="F24" s="38" t="str">
        <x:v>Albarán NT/26.001.262</x:v>
      </x:c>
      <x:c r="G24" s="38" t="str">
        <x:v>649017</x:v>
      </x:c>
      <x:c r="H24" s="38" t="str">
        <x:v>JUEGO SOPORTE INSTALPACK S-40 AMORTIGUADOR SUELO</x:v>
      </x:c>
      <x:c r="I24" s="101" t="n">
        <x:v>1</x:v>
      </x:c>
      <x:c r="J24" s="102" t="n">
        <x:v>3.9</x:v>
      </x:c>
      <x:c r="K24" s="100" t="n">
        <x:v>0.4</x:v>
      </x:c>
      <x:c r="L24" s="99" t="n">
        <x:v>2.34</x:v>
      </x:c>
      <x:c r="M24" s="99" t="n">
        <x:v>2.34</x:v>
      </x:c>
      <x:c r="N24" s="38" t="n">
        <x:v>0.07</x:v>
      </x:c>
      <x:c r="O24" s="38" t="str">
        <x:v>Misma familia; revisar modelo/carga exacta antes de decidir.</x:v>
      </x:c>
    </x:row>
    <x:row r="25">
      <x:c r="A25" s="38" t="str">
        <x:v>Amortiguadores / kit antivibración</x:v>
      </x:c>
      <x:c r="B25" s="38" t="str">
        <x:v>Media-Baja</x:v>
      </x:c>
      <x:c r="C25" s="38" t="str">
        <x:v>Sánchez Arencibia, S.A.</x:v>
      </x:c>
      <x:c r="D25" s="38" t="str">
        <x:v>Factura F/234,515</x:v>
      </x:c>
      <x:c r="E25" s="38" t="str">
        <x:v>30/04/2026</x:v>
      </x:c>
      <x:c r="F25" s="38" t="str">
        <x:v>Albarán TF 537,491 (23/04/2026)</x:v>
      </x:c>
      <x:c r="G25" s="38" t="str">
        <x:v>AG-35 V1 INST.</x:v>
      </x:c>
      <x:c r="H25" s="38" t="str">
        <x:v>JUEGO AMORTIGUADORES (4)</x:v>
      </x:c>
      <x:c r="I25" s="101" t="n">
        <x:v>1</x:v>
      </x:c>
      <x:c r="J25" s="102" t="n">
        <x:v>2</x:v>
      </x:c>
      <x:c r="K25" s="100" t="n">
        <x:v>0.4</x:v>
      </x:c>
      <x:c r="L25" s="99" t="n">
        <x:v>1.2</x:v>
      </x:c>
      <x:c r="M25" s="99" t="n">
        <x:v>1.2</x:v>
      </x:c>
      <x:c r="N25" s="38" t="n">
        <x:v>0.07</x:v>
      </x:c>
      <x:c r="O25" s="38" t="str">
        <x:v>Misma familia; revisar modelo/carga exacta antes de decidir.</x:v>
      </x:c>
    </x:row>
    <x:row r="26">
      <x:c r="A26" s="38" t="str">
        <x:v>Amortiguadores / kit antivibración</x:v>
      </x:c>
      <x:c r="B26" s="38" t="str">
        <x:v>Media-Baja</x:v>
      </x:c>
      <x:c r="C26" s="38" t="str">
        <x:v>Sánchez Arencibia, S.A.</x:v>
      </x:c>
      <x:c r="D26" s="38" t="str">
        <x:v>Factura F/234,515</x:v>
      </x:c>
      <x:c r="E26" s="38" t="str">
        <x:v>30/04/2026</x:v>
      </x:c>
      <x:c r="F26" s="38" t="str">
        <x:v>Albarán TF 536,519 (06/04/2026)</x:v>
      </x:c>
      <x:c r="G26" s="38" t="str">
        <x:v>SG-40 AIRPACK</x:v>
      </x:c>
      <x:c r="H26" s="38" t="str">
        <x:v>JUEGO AMORTIGUADORES (4)</x:v>
      </x:c>
      <x:c r="I26" s="101" t="n">
        <x:v>1</x:v>
      </x:c>
      <x:c r="J26" s="102" t="n">
        <x:v>2.7</x:v>
      </x:c>
      <x:c r="K26" s="100" t="n">
        <x:v>0.4</x:v>
      </x:c>
      <x:c r="L26" s="99" t="n">
        <x:v>1.62</x:v>
      </x:c>
      <x:c r="M26" s="99" t="n">
        <x:v>1.62</x:v>
      </x:c>
      <x:c r="N26" s="38" t="n">
        <x:v>0.07</x:v>
      </x:c>
      <x:c r="O26" s="38" t="str">
        <x:v>Misma familia; revisar modelo/carga exacta antes de decidir.</x:v>
      </x:c>
    </x:row>
    <x:row r="27">
      <x:c r="A27" s="38" t="str">
        <x:v>Amortiguadores / kit antivibración</x:v>
      </x:c>
      <x:c r="B27" s="38" t="str">
        <x:v>Media-Baja</x:v>
      </x:c>
      <x:c r="C27" s="38" t="str">
        <x:v>Sánchez Arencibia, S.A.</x:v>
      </x:c>
      <x:c r="D27" s="38" t="str">
        <x:v>Factura F/230,238</x:v>
      </x:c>
      <x:c r="E27" s="38" t="str">
        <x:v>30/09/2025</x:v>
      </x:c>
      <x:c r="F27" s="38" t="str">
        <x:v>Albarán TF 526,780 (17/09/2025)</x:v>
      </x:c>
      <x:c r="G27" s="38" t="str">
        <x:v>SG-60 AIRPACK</x:v>
      </x:c>
      <x:c r="H27" s="38" t="str">
        <x:v>JUEGO AMORTIGUADORES (4)</x:v>
      </x:c>
      <x:c r="I27" s="101" t="n">
        <x:v>6</x:v>
      </x:c>
      <x:c r="J27" s="102" t="n">
        <x:v>5.02</x:v>
      </x:c>
      <x:c r="K27" s="100" t="n">
        <x:v>0.4</x:v>
      </x:c>
      <x:c r="L27" s="99" t="n">
        <x:v>3.0116666666666667</x:v>
      </x:c>
      <x:c r="M27" s="99" t="n">
        <x:v>18.07</x:v>
      </x:c>
      <x:c r="N27" s="38" t="n">
        <x:v>0.07</x:v>
      </x:c>
      <x:c r="O27" s="38" t="str">
        <x:v>Misma familia; revisar modelo/carga exacta antes de decidir.</x:v>
      </x:c>
    </x:row>
    <x:row r="28">
      <x:c r="A28" s="38" t="str">
        <x:v>Amortiguadores / kit antivibración</x:v>
      </x:c>
      <x:c r="B28" s="38" t="str">
        <x:v>Media-Baja</x:v>
      </x:c>
      <x:c r="C28" s="38" t="str">
        <x:v>Sánchez Arencibia, S.A.</x:v>
      </x:c>
      <x:c r="D28" s="38" t="str">
        <x:v>Factura F/232,781</x:v>
      </x:c>
      <x:c r="E28" s="38" t="str">
        <x:v>31/01/2026</x:v>
      </x:c>
      <x:c r="F28" s="38" t="str">
        <x:v>Albarán TF 532,586 (08/01/2026)</x:v>
      </x:c>
      <x:c r="G28" s="38" t="str">
        <x:v>SG-60 AIRPACK</x:v>
      </x:c>
      <x:c r="H28" s="38" t="str">
        <x:v>JUEGO AMORTIGUADORES (4)</x:v>
      </x:c>
      <x:c r="I28" s="101" t="n">
        <x:v>2</x:v>
      </x:c>
      <x:c r="J28" s="102" t="n">
        <x:v>5.02</x:v>
      </x:c>
      <x:c r="K28" s="100" t="n">
        <x:v>0.4</x:v>
      </x:c>
      <x:c r="L28" s="99" t="n">
        <x:v>3.01</x:v>
      </x:c>
      <x:c r="M28" s="99" t="n">
        <x:v>6.02</x:v>
      </x:c>
      <x:c r="N28" s="38" t="n">
        <x:v>0.07</x:v>
      </x:c>
      <x:c r="O28" s="38" t="str">
        <x:v>Misma familia; revisar modelo/carga exacta antes de decidir.</x:v>
      </x:c>
    </x:row>
    <x:row r="29">
      <x:c r="A29" s="38" t="str">
        <x:v>Amortiguadores / kit antivibración</x:v>
      </x:c>
      <x:c r="B29" s="38" t="str">
        <x:v>Media-Baja</x:v>
      </x:c>
      <x:c r="C29" s="38" t="str">
        <x:v>Sánchez Arencibia, S.A.</x:v>
      </x:c>
      <x:c r="D29" s="38" t="str">
        <x:v>Factura F/233,933</x:v>
      </x:c>
      <x:c r="E29" s="38" t="str">
        <x:v>31/03/2026</x:v>
      </x:c>
      <x:c r="F29" s="38" t="str">
        <x:v>Albarán TF 535,801 (17/03/2026)</x:v>
      </x:c>
      <x:c r="G29" s="38" t="str">
        <x:v>AG-35 V1 INST.</x:v>
      </x:c>
      <x:c r="H29" s="38" t="str">
        <x:v>JUEGO AMORTIGUADORES (4)</x:v>
      </x:c>
      <x:c r="I29" s="101" t="n">
        <x:v>4</x:v>
      </x:c>
      <x:c r="J29" s="102" t="n">
        <x:v>2</x:v>
      </x:c>
      <x:c r="K29" s="100" t="n">
        <x:v>0.4</x:v>
      </x:c>
      <x:c r="L29" s="99" t="n">
        <x:v>1.2</x:v>
      </x:c>
      <x:c r="M29" s="99" t="n">
        <x:v>4.8</x:v>
      </x:c>
      <x:c r="N29" s="38" t="n">
        <x:v>0.07</x:v>
      </x:c>
      <x:c r="O29" s="38" t="str">
        <x:v>Misma familia; revisar modelo/carga exacta antes de decidir.</x:v>
      </x:c>
    </x:row>
    <x:row r="30">
      <x:c r="A30" s="38" t="str">
        <x:v>Amortiguadores / kit antivibración</x:v>
      </x:c>
      <x:c r="B30" s="38" t="str">
        <x:v>Media-Baja</x:v>
      </x:c>
      <x:c r="C30" s="38" t="str">
        <x:v>Sánchez Arencibia, S.A.</x:v>
      </x:c>
      <x:c r="D30" s="38" t="str">
        <x:v>Factura F/233,933</x:v>
      </x:c>
      <x:c r="E30" s="38" t="str">
        <x:v>31/03/2026</x:v>
      </x:c>
      <x:c r="F30" s="38" t="str">
        <x:v>Albarán TF 535,878 (19/03/2026)</x:v>
      </x:c>
      <x:c r="G30" s="38" t="str">
        <x:v>SG-60 AIRPACK</x:v>
      </x:c>
      <x:c r="H30" s="38" t="str">
        <x:v>JUEGO AMORTIGUADORES (4)</x:v>
      </x:c>
      <x:c r="I30" s="101" t="n">
        <x:v>1</x:v>
      </x:c>
      <x:c r="J30" s="102" t="n">
        <x:v>5.02</x:v>
      </x:c>
      <x:c r="K30" s="100" t="n">
        <x:v>0.4</x:v>
      </x:c>
      <x:c r="L30" s="99" t="n">
        <x:v>3.01</x:v>
      </x:c>
      <x:c r="M30" s="99" t="n">
        <x:v>3.01</x:v>
      </x:c>
      <x:c r="N30" s="38" t="n">
        <x:v>0.07</x:v>
      </x:c>
      <x:c r="O30" s="38" t="str">
        <x:v>Misma familia; revisar modelo/carga exacta antes de decidir.</x:v>
      </x:c>
    </x:row>
    <x:row r="31">
      <x:c r="A31" s="38" t="str">
        <x:v>Amortiguadores / kit antivibración</x:v>
      </x:c>
      <x:c r="B31" s="38" t="str">
        <x:v>Media-Baja</x:v>
      </x:c>
      <x:c r="C31" s="38" t="str">
        <x:v>Sánchez Arencibia, S.A.</x:v>
      </x:c>
      <x:c r="D31" s="38" t="str">
        <x:v>Factura F/232,230</x:v>
      </x:c>
      <x:c r="E31" s="38" t="str">
        <x:v>31/12/2025</x:v>
      </x:c>
      <x:c r="F31" s="38" t="str">
        <x:v>Albarán TF 532,005 (18/12/2025)</x:v>
      </x:c>
      <x:c r="G31" s="38" t="str">
        <x:v>AG-45 V1 INST.</x:v>
      </x:c>
      <x:c r="H31" s="38" t="str">
        <x:v>JUEGO AMORTIGUADORES (4)</x:v>
      </x:c>
      <x:c r="I31" s="101" t="n">
        <x:v>2</x:v>
      </x:c>
      <x:c r="J31" s="102" t="n">
        <x:v>2.87</x:v>
      </x:c>
      <x:c r="K31" s="100" t="n">
        <x:v>0.4</x:v>
      </x:c>
      <x:c r="L31" s="99" t="n">
        <x:v>1.72</x:v>
      </x:c>
      <x:c r="M31" s="99" t="n">
        <x:v>3.44</x:v>
      </x:c>
      <x:c r="N31" s="38" t="n">
        <x:v>0.07</x:v>
      </x:c>
      <x:c r="O31" s="38" t="str">
        <x:v>Misma familia; revisar modelo/carga exacta antes de decidir.</x:v>
      </x:c>
    </x:row>
    <x:row r="32">
      <x:c r="A32" s="38" t="str">
        <x:v>Amortiguadores / kit antivibración</x:v>
      </x:c>
      <x:c r="B32" s="38" t="str">
        <x:v>Media-Baja</x:v>
      </x:c>
      <x:c r="C32" s="38" t="str">
        <x:v>Sánchez Arencibia, S.A.</x:v>
      </x:c>
      <x:c r="D32" s="38" t="str">
        <x:v>Factura F/232,230</x:v>
      </x:c>
      <x:c r="E32" s="38" t="str">
        <x:v>31/12/2025</x:v>
      </x:c>
      <x:c r="F32" s="38" t="str">
        <x:v>Albarán TF 531,882 (16/12/2025)</x:v>
      </x:c>
      <x:c r="G32" s="38" t="str">
        <x:v>SG-60 AIRPACK</x:v>
      </x:c>
      <x:c r="H32" s="38" t="str">
        <x:v>JUEGO AMORTIGUADORES (4)</x:v>
      </x:c>
      <x:c r="I32" s="101" t="n">
        <x:v>1</x:v>
      </x:c>
      <x:c r="J32" s="102" t="n">
        <x:v>5.02</x:v>
      </x:c>
      <x:c r="K32" s="100" t="n">
        <x:v>0.4</x:v>
      </x:c>
      <x:c r="L32" s="99" t="n">
        <x:v>3.01</x:v>
      </x:c>
      <x:c r="M32" s="99" t="n">
        <x:v>3.01</x:v>
      </x:c>
      <x:c r="N32" s="38" t="n">
        <x:v>0.07</x:v>
      </x:c>
      <x:c r="O32" s="38" t="str">
        <x:v>Misma familia; revisar modelo/carga exacta antes de decidir.</x:v>
      </x:c>
    </x:row>
  </x:sheetData>
  <x:pageMargins left="0.7" right="0.7" top="0.75" bottom="0.75" header="0.3" footer="0.3"/>
  <x:tableParts count="1">
    <x:tablePart xmlns:r="http://schemas.openxmlformats.org/officeDocument/2006/relationships" r:id="R710b65244d7345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07" t="str">
        <x:v>Base de materiales EON — Index Clima</x:v>
      </x:c>
      <x:c r="B1" s="107" t="str"/>
    </x:row>
    <x:row r="2">
      <x:c r="A2" s="108" t="str">
        <x:v>Uso</x:v>
      </x:c>
      <x:c r="B2" s="38" t="str">
        <x:v>Esta hoja explica cómo rellenar y mantener la base de materiales para que EON calcule presupuestos con trazabilidad.</x:v>
      </x:c>
    </x:row>
    <x:row r="3">
      <x:c r="A3" s="108" t="str">
        <x:v>Flujo</x:v>
      </x:c>
      <x:c r="B3" s="38" t="str">
        <x:v>Cuando falte precio, cantidad, metros, tipo de material, días o empleados, EON debe preguntarlo y marcarlo como pendiente.</x:v>
      </x:c>
    </x:row>
    <x:row r="4">
      <x:c r="A4" s="108" t="str">
        <x:v>Coste interno</x:v>
      </x:c>
      <x:c r="B4" s="38" t="str">
        <x:v>Debe ser el coste real sin IGIC que paga Index Clima, incluyendo descuentos del proveedor.</x:v>
      </x:c>
    </x:row>
    <x:row r="5">
      <x:c r="A5" s="108" t="str">
        <x:v>Precio cliente</x:v>
      </x:c>
      <x:c r="B5" s="38" t="str">
        <x:v>Debe ser el precio que se cobra al cliente sin IGIC. Si está vacío o igual al coste, el margen de material será 0.</x:v>
      </x:c>
    </x:row>
    <x:row r="6">
      <x:c r="A6" s="108" t="str">
        <x:v>IGIC</x:v>
      </x:c>
      <x:c r="B6" s="38" t="str">
        <x:v>Los cálculos internos se hacen sin IGIC. Para el cliente se aplica IGIC 7% al final del presupuesto.</x:v>
      </x:c>
    </x:row>
    <x:row r="7">
      <x:c r="A7" s="108" t="str">
        <x:v>Tubería</x:v>
      </x:c>
      <x:c r="B7" s="38" t="str">
        <x:v>Si se indica rollo, EON calcula rollo completo. Si se indican metros, calcula proporcional. 1 rollo estándar = 20 m.</x:v>
      </x:c>
    </x:row>
    <x:row r="8">
      <x:c r="A8" s="108" t="str">
        <x:v>Nitrógeno</x:v>
      </x:c>
      <x:c r="B8" s="38" t="str">
        <x:v>Se imputa como precio de botella / 3 instalaciones.</x:v>
      </x:c>
    </x:row>
    <x:row r="9">
      <x:c r="A9" s="108" t="str">
        <x:v>Mano de obra</x:v>
      </x:c>
      <x:c r="B9" s="38" t="str">
        <x:v>Cliente: 25 €/h por trabajador. Interno: coste real por empleado según nómina.</x:v>
      </x:c>
    </x:row>
    <x:row r="10">
      <x:c r="A10" s="108" t="str">
        <x:v>Transporte</x:v>
      </x:c>
      <x:c r="B10" s="38" t="str">
        <x:v>Regla general: 30 €/día. Si no coincide, EON debe avisar y preguntar si es por cercanía, distancia u otro motivo.</x:v>
      </x:c>
    </x:row>
    <x:row r="11">
      <x:c r="A11" s="108" t="str">
        <x:v>Margen</x:v>
      </x:c>
      <x:c r="B11" s="38" t="str">
        <x:v>Mínimo orientativo: 15%. Ideal: 20%. Si hay soldadura, objetivo +2 puntos.</x:v>
      </x:c>
    </x:row>
    <x:row r="12">
      <x:c r="A12" s="108" t="str">
        <x:v>Importante</x:v>
      </x:c>
      <x:c r="B12" s="38" t="str">
        <x:v>No inventar precios. Si falta un material del presupuesto proveedor, añadirlo en Materiales_EON o en Pendientes_Precios.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2" hidden="0" customWidth="1"/>
    <x:col min="4" max="4" width="24" hidden="0" customWidth="1"/>
    <x:col min="5" max="5" width="36" hidden="0" customWidth="1"/>
    <x:col min="6" max="6" width="45" hidden="0" customWidth="1"/>
    <x:col min="7" max="7" width="16" hidden="0" customWidth="1"/>
    <x:col min="8" max="8" width="32" hidden="0" customWidth="1"/>
    <x:col min="9" max="9" width="24" hidden="0" customWidth="1"/>
    <x:col min="10" max="10" width="14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5" hidden="0" customWidth="1"/>
    <x:col min="19" max="19" width="18" hidden="0" customWidth="1"/>
    <x:col min="20" max="20" width="10" hidden="0" customWidth="1"/>
    <x:col min="21" max="21" width="16" hidden="0" customWidth="1"/>
    <x:col min="22" max="22" width="18" hidden="0" customWidth="1"/>
    <x:col min="23" max="23" width="14" hidden="0" customWidth="1"/>
    <x:col min="24" max="24" width="14" hidden="0" customWidth="1"/>
    <x:col min="25" max="25" width="24" hidden="0" customWidth="1"/>
    <x:col min="26" max="26" width="36" hidden="0" customWidth="1"/>
    <x:col min="27" max="27" width="16" hidden="0" customWidth="1"/>
    <x:col min="28" max="28" width="28" hidden="0" customWidth="1"/>
    <x:col min="29" max="29" width="18" hidden="0" customWidth="1"/>
    <x:col min="30" max="30" width="16" hidden="0" customWidth="1"/>
    <x:col min="31" max="31" width="10" hidden="0" customWidth="1"/>
    <x:col min="32" max="32" width="42" hidden="0" customWidth="1"/>
  </x:cols>
  <x:sheetData>
    <x:row r="1">
      <x:c r="A1" s="113" t="str">
        <x:v>ID_EON</x:v>
      </x:c>
      <x:c r="B1" s="113" t="str">
        <x:v>Activo</x:v>
      </x:c>
      <x:c r="C1" s="113" t="str">
        <x:v>Categoría_EON</x:v>
      </x:c>
      <x:c r="D1" s="113" t="str">
        <x:v>Subcategoría</x:v>
      </x:c>
      <x:c r="E1" s="113" t="str">
        <x:v>Producto_Normalizado</x:v>
      </x:c>
      <x:c r="F1" s="113" t="str">
        <x:v>Descripción_Proveedor</x:v>
      </x:c>
      <x:c r="G1" s="113" t="str">
        <x:v>Código_Proveedor</x:v>
      </x:c>
      <x:c r="H1" s="113" t="str">
        <x:v>Proveedor</x:v>
      </x:c>
      <x:c r="I1" s="113" t="str">
        <x:v>Documento_Origen</x:v>
      </x:c>
      <x:c r="J1" s="113" t="str">
        <x:v>Fecha_Precio</x:v>
      </x:c>
      <x:c r="K1" s="113" t="str">
        <x:v>Referencia</x:v>
      </x:c>
      <x:c r="L1" s="113" t="str">
        <x:v>Cantidad_Origen</x:v>
      </x:c>
      <x:c r="M1" s="113" t="str">
        <x:v>Unidad_Compra</x:v>
      </x:c>
      <x:c r="N1" s="113" t="str">
        <x:v>Contenido_Unidad</x:v>
      </x:c>
      <x:c r="O1" s="113" t="str">
        <x:v>Unidad_Cálculo</x:v>
      </x:c>
      <x:c r="P1" s="113" t="str">
        <x:v>Precio_Bruto_Ud</x:v>
      </x:c>
      <x:c r="Q1" s="113" t="str">
        <x:v>Descuento_Proveedor</x:v>
      </x:c>
      <x:c r="R1" s="113" t="str">
        <x:v>Total_Línea_Neto</x:v>
      </x:c>
      <x:c r="S1" s="113" t="str">
        <x:v>Coste_Neto_Ud_Sin_IGIC</x:v>
      </x:c>
      <x:c r="T1" s="113" t="str">
        <x:v>IGIC</x:v>
      </x:c>
      <x:c r="U1" s="113" t="str">
        <x:v>Coste_Ud_Con_IGIC</x:v>
      </x:c>
      <x:c r="V1" s="113" t="str">
        <x:v>Precio_Cliente_Sin_IGIC</x:v>
      </x:c>
      <x:c r="W1" s="113" t="str">
        <x:v>Margen_€/Ud</x:v>
      </x:c>
      <x:c r="X1" s="113" t="str">
        <x:v>Margen_Sobre_Venta</x:v>
      </x:c>
      <x:c r="Y1" s="113" t="str">
        <x:v>Tipo_Imputación</x:v>
      </x:c>
      <x:c r="Z1" s="113" t="str">
        <x:v>Regla_Cálculo_EON</x:v>
      </x:c>
      <x:c r="AA1" s="113" t="str">
        <x:v>Equivalencia_Cálculo</x:v>
      </x:c>
      <x:c r="AB1" s="113" t="str">
        <x:v>Proveedor_Recomendado</x:v>
      </x:c>
      <x:c r="AC1" s="113" t="str">
        <x:v>Confianza_Comparativa</x:v>
      </x:c>
      <x:c r="AD1" s="113" t="str">
        <x:v>Fecha_Actualización</x:v>
      </x:c>
      <x:c r="AE1" s="113" t="str">
        <x:v>Revisar</x:v>
      </x:c>
      <x:c r="AF1" s="113" t="str">
        <x:v>Observaciones_EON</x:v>
      </x:c>
    </x:row>
    <x:row r="2">
      <x:c r="A2" s="38" t="str">
        <x:v>MAT-0001</x:v>
      </x:c>
      <x:c r="B2" s="38" t="str">
        <x:v>Sí</x:v>
      </x:c>
      <x:c r="C2" s="38" t="str">
        <x:v>Máquina/Equipo</x:v>
      </x:c>
      <x:c r="D2" s="38" t="str">
        <x:v>Equipo climatización</x:v>
      </x:c>
      <x:c r="E2" s="38" t="str">
        <x:v>Ud. Exterior Multi V Lg Mod. Arun080Lss5 Trif</x:v>
      </x:c>
      <x:c r="F2" s="38" t="str">
        <x:v>UD. EXTERIOR MULTI V LG MOD. ARUN080LSS5 TRIF</x:v>
      </x:c>
      <x:c r="G2" s="38" t="str">
        <x:v>0</x:v>
      </x:c>
      <x:c r="H2" s="38" t="str">
        <x:v>Comercial Santana Alemán y González, S.L. (Grupo SAG)</x:v>
      </x:c>
      <x:c r="I2" s="38" t="str">
        <x:v>Presupuesto TF/26002193</x:v>
      </x:c>
      <x:c r="J2" s="115" t="str">
        <x:v>19/06/2026</x:v>
      </x:c>
      <x:c r="K2" s="38" t="str">
        <x:v>ULL</x:v>
      </x:c>
      <x:c r="L2" s="38" t="n">
        <x:v>1</x:v>
      </x:c>
      <x:c r="M2" s="38" t="str">
        <x:v>Unidad</x:v>
      </x:c>
      <x:c r="N2" s="38" t="n">
        <x:v>1</x:v>
      </x:c>
      <x:c r="O2" s="38" t="str">
        <x:v>Unidad</x:v>
      </x:c>
      <x:c r="P2" s="99" t="n">
        <x:v>9386</x:v>
      </x:c>
      <x:c r="Q2" s="114" t="n">
        <x:v>0.45</x:v>
      </x:c>
      <x:c r="R2" s="99" t="n">
        <x:v>5162.3</x:v>
      </x:c>
      <x:c r="S2" s="99" t="n">
        <x:f>IFERROR(R2/L2,P2*(1-Q2))</x:f>
        <x:v>5162.3</x:v>
      </x:c>
      <x:c r="T2" s="114" t="n">
        <x:v>0.07</x:v>
      </x:c>
      <x:c r="U2" s="99" t="n">
        <x:f>S2*(1+T2)</x:f>
        <x:v>5523.661000000001</x:v>
      </x:c>
      <x:c r="V2" s="99" t="n">
        <x:f>S2</x:f>
        <x:v>5162.3</x:v>
      </x:c>
      <x:c r="W2" s="99" t="n">
        <x:f>V2-S2</x:f>
        <x:v>0</x:v>
      </x:c>
      <x:c r="X2" s="114" t="n">
        <x:f>IFERROR(W2/V2,0)</x:f>
        <x:v>0</x:v>
      </x:c>
      <x:c r="Y2" s="38" t="str">
        <x:v>Por unidad</x:v>
      </x:c>
      <x:c r="Z2" s="38" t="str">
        <x:f>IF(Y2="Botella / 3 instalaciones","Precio botella / 3",IF(Y2="Por rollo o metros proporcionales","Si se pasa rollo: rollo completo. Si se pasan metros: proporcional",Y2))</x:f>
        <x:v>Por unidad</x:v>
      </x:c>
      <x:c r="AA2" s="38" t="n">
        <x:v>1</x:v>
      </x:c>
      <x:c r="AB2" s="38" t="str"/>
      <x:c r="AC2" s="38" t="str"/>
      <x:c r="AD2" s="116" t="str">
        <x:v>2026-06-30</x:v>
      </x:c>
      <x:c r="AE2" s="38" t="str">
        <x:v>No</x:v>
      </x:c>
      <x:c r="AF2" s="38" t="str"/>
    </x:row>
    <x:row r="3">
      <x:c r="A3" s="38" t="str">
        <x:v>MAT-0002</x:v>
      </x:c>
      <x:c r="B3" s="38" t="str">
        <x:v>Sí</x:v>
      </x:c>
      <x:c r="C3" s="38" t="str">
        <x:v>Máquina/Equipo</x:v>
      </x:c>
      <x:c r="D3" s="38" t="str">
        <x:v>Equipo climatización</x:v>
      </x:c>
      <x:c r="E3" s="38" t="str">
        <x:v>Ud Interior Cassette 4 Vias Multi V Lg Mod. Arnu12Gtrb4 (3,60 Kw)</x:v>
      </x:c>
      <x:c r="F3" s="38" t="str">
        <x:v>UD INTERIOR CASSETTE 4 VIAS MULTI V LG MOD. ARNU12GTRB4 (3,60 KW)</x:v>
      </x:c>
      <x:c r="G3" s="38" t="str">
        <x:v>ARNU12GTRB4</x:v>
      </x:c>
      <x:c r="H3" s="38" t="str">
        <x:v>Comercial Santana Alemán y González, S.L. (Grupo SAG)</x:v>
      </x:c>
      <x:c r="I3" s="38" t="str">
        <x:v>Presupuesto TF/26002193</x:v>
      </x:c>
      <x:c r="J3" s="115" t="str">
        <x:v>19/06/2026</x:v>
      </x:c>
      <x:c r="K3" s="38" t="str">
        <x:v>ULL</x:v>
      </x:c>
      <x:c r="L3" s="38" t="n">
        <x:v>3</x:v>
      </x:c>
      <x:c r="M3" s="38" t="str">
        <x:v>Unidad</x:v>
      </x:c>
      <x:c r="N3" s="38" t="n">
        <x:v>1</x:v>
      </x:c>
      <x:c r="O3" s="38" t="str">
        <x:v>Unidad</x:v>
      </x:c>
      <x:c r="P3" s="99" t="n">
        <x:v>1387</x:v>
      </x:c>
      <x:c r="Q3" s="114" t="n">
        <x:v>0.45</x:v>
      </x:c>
      <x:c r="R3" s="99" t="n">
        <x:v>2288.55</x:v>
      </x:c>
      <x:c r="S3" s="99" t="n">
        <x:f>IFERROR(R3/L3,P3*(1-Q3))</x:f>
        <x:v>762.85</x:v>
      </x:c>
      <x:c r="T3" s="114" t="n">
        <x:v>0.07</x:v>
      </x:c>
      <x:c r="U3" s="99" t="n">
        <x:f>S3*(1+T3)</x:f>
        <x:v>816.2495000000001</x:v>
      </x:c>
      <x:c r="V3" s="99" t="n">
        <x:f>S3</x:f>
        <x:v>762.85</x:v>
      </x:c>
      <x:c r="W3" s="99" t="n">
        <x:f>V3-S3</x:f>
        <x:v>0</x:v>
      </x:c>
      <x:c r="X3" s="114" t="n">
        <x:f>IFERROR(W3/V3,0)</x:f>
        <x:v>0</x:v>
      </x:c>
      <x:c r="Y3" s="38" t="str">
        <x:v>Por unidad</x:v>
      </x:c>
      <x:c r="Z3" s="38" t="str">
        <x:f>IF(Y3="Botella / 3 instalaciones","Precio botella / 3",IF(Y3="Por rollo o metros proporcionales","Si se pasa rollo: rollo completo. Si se pasan metros: proporcional",Y3))</x:f>
        <x:v>Por unidad</x:v>
      </x:c>
      <x:c r="AA3" s="38" t="n">
        <x:v>1</x:v>
      </x:c>
      <x:c r="AB3" s="38" t="str"/>
      <x:c r="AC3" s="38" t="str"/>
      <x:c r="AD3" s="116" t="str">
        <x:v>2026-06-30</x:v>
      </x:c>
      <x:c r="AE3" s="38" t="str">
        <x:v>No</x:v>
      </x:c>
      <x:c r="AF3" s="38" t="str"/>
    </x:row>
    <x:row r="4">
      <x:c r="A4" s="38" t="str">
        <x:v>MAT-0003</x:v>
      </x:c>
      <x:c r="B4" s="38" t="str">
        <x:v>Sí</x:v>
      </x:c>
      <x:c r="C4" s="38" t="str">
        <x:v>Máquina/Equipo</x:v>
      </x:c>
      <x:c r="D4" s="38" t="str">
        <x:v>Equipo climatización</x:v>
      </x:c>
      <x:c r="E4" s="38" t="str">
        <x:v>Ud Interior Cassette 4 Vias Multi V Lg Mod. Arnu15Gtqb4 (4,50Kw)</x:v>
      </x:c>
      <x:c r="F4" s="38" t="str">
        <x:v>UD INTERIOR CASSETTE 4 VIAS MULTI V LG MOD. ARNU15GTQB4 (4,50KW)</x:v>
      </x:c>
      <x:c r="G4" s="38" t="str">
        <x:v>ARNU15GTQB4</x:v>
      </x:c>
      <x:c r="H4" s="38" t="str">
        <x:v>Comercial Santana Alemán y González, S.L. (Grupo SAG)</x:v>
      </x:c>
      <x:c r="I4" s="38" t="str">
        <x:v>Presupuesto TF/26002193</x:v>
      </x:c>
      <x:c r="J4" s="115" t="str">
        <x:v>19/06/2026</x:v>
      </x:c>
      <x:c r="K4" s="38" t="str">
        <x:v>ULL</x:v>
      </x:c>
      <x:c r="L4" s="38" t="n">
        <x:v>2</x:v>
      </x:c>
      <x:c r="M4" s="38" t="str">
        <x:v>Unidad</x:v>
      </x:c>
      <x:c r="N4" s="38" t="n">
        <x:v>1</x:v>
      </x:c>
      <x:c r="O4" s="38" t="str">
        <x:v>Unidad</x:v>
      </x:c>
      <x:c r="P4" s="99" t="n">
        <x:v>1537</x:v>
      </x:c>
      <x:c r="Q4" s="114" t="n">
        <x:v>0.45</x:v>
      </x:c>
      <x:c r="R4" s="99" t="n">
        <x:v>1690.7</x:v>
      </x:c>
      <x:c r="S4" s="99" t="n">
        <x:f>IFERROR(R4/L4,P4*(1-Q4))</x:f>
        <x:v>845.35</x:v>
      </x:c>
      <x:c r="T4" s="114" t="n">
        <x:v>0.07</x:v>
      </x:c>
      <x:c r="U4" s="99" t="n">
        <x:f>S4*(1+T4)</x:f>
        <x:v>904.5245000000001</x:v>
      </x:c>
      <x:c r="V4" s="99" t="n">
        <x:f>S4</x:f>
        <x:v>845.35</x:v>
      </x:c>
      <x:c r="W4" s="99" t="n">
        <x:f>V4-S4</x:f>
        <x:v>0</x:v>
      </x:c>
      <x:c r="X4" s="114" t="n">
        <x:f>IFERROR(W4/V4,0)</x:f>
        <x:v>0</x:v>
      </x:c>
      <x:c r="Y4" s="38" t="str">
        <x:v>Por unidad</x:v>
      </x:c>
      <x:c r="Z4" s="38" t="str">
        <x:f>IF(Y4="Botella / 3 instalaciones","Precio botella / 3",IF(Y4="Por rollo o metros proporcionales","Si se pasa rollo: rollo completo. Si se pasan metros: proporcional",Y4))</x:f>
        <x:v>Por unidad</x:v>
      </x:c>
      <x:c r="AA4" s="38" t="n">
        <x:v>1</x:v>
      </x:c>
      <x:c r="AB4" s="38" t="str"/>
      <x:c r="AC4" s="38" t="str"/>
      <x:c r="AD4" s="116" t="str">
        <x:v>2026-06-30</x:v>
      </x:c>
      <x:c r="AE4" s="38" t="str">
        <x:v>No</x:v>
      </x:c>
      <x:c r="AF4" s="38" t="str"/>
    </x:row>
    <x:row r="5">
      <x:c r="A5" s="38" t="str">
        <x:v>MAT-0004</x:v>
      </x:c>
      <x:c r="B5" s="38" t="str">
        <x:v>Sí</x:v>
      </x:c>
      <x:c r="C5" s="38" t="str">
        <x:v>Sin clasificar</x:v>
      </x:c>
      <x:c r="D5" s="38" t="str"/>
      <x:c r="E5" s="38" t="str">
        <x:v>Junta De Derivacion Lg Mod. Arbln01621</x:v>
      </x:c>
      <x:c r="F5" s="38" t="str">
        <x:v>JUNTA DE DERIVACION LG MOD. ARBLN01621</x:v>
      </x:c>
      <x:c r="G5" s="38" t="str">
        <x:v>ARBLN01621</x:v>
      </x:c>
      <x:c r="H5" s="38" t="str">
        <x:v>Comercial Santana Alemán y González, S.L. (Grupo SAG)</x:v>
      </x:c>
      <x:c r="I5" s="38" t="str">
        <x:v>Presupuesto TF/26002193</x:v>
      </x:c>
      <x:c r="J5" s="115" t="str">
        <x:v>19/06/2026</x:v>
      </x:c>
      <x:c r="K5" s="38" t="str">
        <x:v>ULL</x:v>
      </x:c>
      <x:c r="L5" s="38" t="n">
        <x:v>4</x:v>
      </x:c>
      <x:c r="M5" s="38" t="str">
        <x:v>Unidad</x:v>
      </x:c>
      <x:c r="N5" s="38" t="n">
        <x:v>1</x:v>
      </x:c>
      <x:c r="O5" s="38" t="str">
        <x:v>Unidad</x:v>
      </x:c>
      <x:c r="P5" s="99" t="n">
        <x:v>117</x:v>
      </x:c>
      <x:c r="Q5" s="114" t="n">
        <x:v>0.45</x:v>
      </x:c>
      <x:c r="R5" s="99" t="n">
        <x:v>257.4</x:v>
      </x:c>
      <x:c r="S5" s="99" t="n">
        <x:f>IFERROR(R5/L5,P5*(1-Q5))</x:f>
        <x:v>64.35</x:v>
      </x:c>
      <x:c r="T5" s="114" t="n">
        <x:v>0.07</x:v>
      </x:c>
      <x:c r="U5" s="99" t="n">
        <x:f>S5*(1+T5)</x:f>
        <x:v>68.8545</x:v>
      </x:c>
      <x:c r="V5" s="99" t="n">
        <x:f>S5</x:f>
        <x:v>64.35</x:v>
      </x:c>
      <x:c r="W5" s="99" t="n">
        <x:f>V5-S5</x:f>
        <x:v>0</x:v>
      </x:c>
      <x:c r="X5" s="114" t="n">
        <x:f>IFERROR(W5/V5,0)</x:f>
        <x:v>0</x:v>
      </x:c>
      <x:c r="Y5" s="38" t="str">
        <x:v>Por unidad</x:v>
      </x:c>
      <x:c r="Z5" s="38" t="str">
        <x:f>IF(Y5="Botella / 3 instalaciones","Precio botella / 3",IF(Y5="Por rollo o metros proporcionales","Si se pasa rollo: rollo completo. Si se pasan metros: proporcional",Y5))</x:f>
        <x:v>Por unidad</x:v>
      </x:c>
      <x:c r="AA5" s="38" t="n">
        <x:v>1</x:v>
      </x:c>
      <x:c r="AB5" s="38" t="str"/>
      <x:c r="AC5" s="38" t="str"/>
      <x:c r="AD5" s="116" t="str">
        <x:v>2026-06-30</x:v>
      </x:c>
      <x:c r="AE5" s="38" t="str">
        <x:v>Sí</x:v>
      </x:c>
      <x:c r="AF5" s="38" t="str">
        <x:v>Revisar categoría antes de usar en cálculo automático.</x:v>
      </x:c>
    </x:row>
    <x:row r="6">
      <x:c r="A6" s="38" t="str">
        <x:v>MAT-0005</x:v>
      </x:c>
      <x:c r="B6" s="38" t="str">
        <x:v>Sí</x:v>
      </x:c>
      <x:c r="C6" s="38" t="str">
        <x:v>Electricidad</x:v>
      </x:c>
      <x:c r="D6" s="38" t="str">
        <x:v>Cable eléctrico</x:v>
      </x:c>
      <x:c r="E6" s="38" t="str">
        <x:v>Mando Por Cable Lg Mod. Premtb001</x:v>
      </x:c>
      <x:c r="F6" s="38" t="str">
        <x:v>MANDO POR CABLE LG MOD. PREMTB001</x:v>
      </x:c>
      <x:c r="G6" s="38" t="str">
        <x:v>PREMTB001</x:v>
      </x:c>
      <x:c r="H6" s="38" t="str">
        <x:v>Comercial Santana Alemán y González, S.L. (Grupo SAG)</x:v>
      </x:c>
      <x:c r="I6" s="38" t="str">
        <x:v>Presupuesto TF/26002193</x:v>
      </x:c>
      <x:c r="J6" s="115" t="str">
        <x:v>19/06/2026</x:v>
      </x:c>
      <x:c r="K6" s="38" t="str">
        <x:v>ULL</x:v>
      </x:c>
      <x:c r="L6" s="38" t="n">
        <x:v>4</x:v>
      </x:c>
      <x:c r="M6" s="38" t="str">
        <x:v>Metro</x:v>
      </x:c>
      <x:c r="N6" s="38" t="n">
        <x:v>1</x:v>
      </x:c>
      <x:c r="O6" s="38" t="str">
        <x:v>Metro</x:v>
      </x:c>
      <x:c r="P6" s="99" t="n">
        <x:v>127</x:v>
      </x:c>
      <x:c r="Q6" s="114" t="n">
        <x:v>0.45</x:v>
      </x:c>
      <x:c r="R6" s="99" t="n">
        <x:v>279.4</x:v>
      </x:c>
      <x:c r="S6" s="99" t="n">
        <x:f>IFERROR(R6/L6,P6*(1-Q6))</x:f>
        <x:v>69.85</x:v>
      </x:c>
      <x:c r="T6" s="114" t="n">
        <x:v>0.07</x:v>
      </x:c>
      <x:c r="U6" s="99" t="n">
        <x:f>S6*(1+T6)</x:f>
        <x:v>74.73949999999999</x:v>
      </x:c>
      <x:c r="V6" s="99" t="n">
        <x:f>S6</x:f>
        <x:v>69.85</x:v>
      </x:c>
      <x:c r="W6" s="99" t="n">
        <x:f>V6-S6</x:f>
        <x:v>0</x:v>
      </x:c>
      <x:c r="X6" s="114" t="n">
        <x:f>IFERROR(W6/V6,0)</x:f>
        <x:v>0</x:v>
      </x:c>
      <x:c r="Y6" s="38" t="str">
        <x:v>Por metros</x:v>
      </x:c>
      <x:c r="Z6" s="38" t="str">
        <x:f>IF(Y6="Botella / 3 instalaciones","Precio botella / 3",IF(Y6="Por rollo o metros proporcionales","Si se pasa rollo: rollo completo. Si se pasan metros: proporcional",Y6))</x:f>
        <x:v>Por metros</x:v>
      </x:c>
      <x:c r="AA6" s="38" t="n">
        <x:v>1</x:v>
      </x:c>
      <x:c r="AB6" s="38" t="str"/>
      <x:c r="AC6" s="38" t="str"/>
      <x:c r="AD6" s="116" t="str">
        <x:v>2026-06-30</x:v>
      </x:c>
      <x:c r="AE6" s="38" t="str">
        <x:v>No</x:v>
      </x:c>
      <x:c r="AF6" s="38" t="str"/>
    </x:row>
    <x:row r="7">
      <x:c r="A7" s="38" t="str">
        <x:v>MAT-0006</x:v>
      </x:c>
      <x:c r="B7" s="38" t="str">
        <x:v>Sí</x:v>
      </x:c>
      <x:c r="C7" s="38" t="str">
        <x:v>Electricidad</x:v>
      </x:c>
      <x:c r="D7" s="38" t="str">
        <x:v>Cable eléctrico</x:v>
      </x:c>
      <x:c r="E7" s="38" t="str">
        <x:v>Conector/Cable Lg Para Control De Grupo Pzcwrcg3</x:v>
      </x:c>
      <x:c r="F7" s="38" t="str">
        <x:v>CONECTOR/CABLE LG PARA CONTROL DE GRUPO PZCWRCG3</x:v>
      </x:c>
      <x:c r="G7" s="38" t="str">
        <x:v>PZCWRCG3</x:v>
      </x:c>
      <x:c r="H7" s="38" t="str">
        <x:v>Comercial Santana Alemán y González, S.L. (Grupo SAG)</x:v>
      </x:c>
      <x:c r="I7" s="38" t="str">
        <x:v>Presupuesto TF/26002193</x:v>
      </x:c>
      <x:c r="J7" s="115" t="str">
        <x:v>19/06/2026</x:v>
      </x:c>
      <x:c r="K7" s="38" t="str">
        <x:v>ULL</x:v>
      </x:c>
      <x:c r="L7" s="38" t="n">
        <x:v>1</x:v>
      </x:c>
      <x:c r="M7" s="38" t="str">
        <x:v>Metro</x:v>
      </x:c>
      <x:c r="N7" s="38" t="n">
        <x:v>1</x:v>
      </x:c>
      <x:c r="O7" s="38" t="str">
        <x:v>Metro</x:v>
      </x:c>
      <x:c r="P7" s="99" t="n">
        <x:v>28</x:v>
      </x:c>
      <x:c r="Q7" s="114" t="n">
        <x:v>0.4</x:v>
      </x:c>
      <x:c r="R7" s="99" t="n">
        <x:v>16.8</x:v>
      </x:c>
      <x:c r="S7" s="99" t="n">
        <x:f>IFERROR(R7/L7,P7*(1-Q7))</x:f>
        <x:v>16.8</x:v>
      </x:c>
      <x:c r="T7" s="114" t="n">
        <x:v>0.07</x:v>
      </x:c>
      <x:c r="U7" s="99" t="n">
        <x:f>S7*(1+T7)</x:f>
        <x:v>17.976000000000003</x:v>
      </x:c>
      <x:c r="V7" s="99" t="n">
        <x:f>S7</x:f>
        <x:v>16.8</x:v>
      </x:c>
      <x:c r="W7" s="99" t="n">
        <x:f>V7-S7</x:f>
        <x:v>0</x:v>
      </x:c>
      <x:c r="X7" s="114" t="n">
        <x:f>IFERROR(W7/V7,0)</x:f>
        <x:v>0</x:v>
      </x:c>
      <x:c r="Y7" s="38" t="str">
        <x:v>Por metros</x:v>
      </x:c>
      <x:c r="Z7" s="38" t="str">
        <x:f>IF(Y7="Botella / 3 instalaciones","Precio botella / 3",IF(Y7="Por rollo o metros proporcionales","Si se pasa rollo: rollo completo. Si se pasan metros: proporcional",Y7))</x:f>
        <x:v>Por metros</x:v>
      </x:c>
      <x:c r="AA7" s="38" t="n">
        <x:v>1</x:v>
      </x:c>
      <x:c r="AB7" s="38" t="str"/>
      <x:c r="AC7" s="38" t="str"/>
      <x:c r="AD7" s="116" t="str">
        <x:v>2026-06-30</x:v>
      </x:c>
      <x:c r="AE7" s="38" t="str">
        <x:v>No</x:v>
      </x:c>
      <x:c r="AF7" s="38" t="str"/>
    </x:row>
    <x:row r="8">
      <x:c r="A8" s="38" t="str">
        <x:v>MAT-0007</x:v>
      </x:c>
      <x:c r="B8" s="38" t="str">
        <x:v>Sí</x:v>
      </x:c>
      <x:c r="C8" s="38" t="str">
        <x:v>Sin clasificar</x:v>
      </x:c>
      <x:c r="D8" s="38" t="str"/>
      <x:c r="E8" s="38" t="str">
        <x:v>Panel Lg Mod. Pt-Qagwo (620*34*620 Mm)</x:v>
      </x:c>
      <x:c r="F8" s="38" t="str">
        <x:v>PANEL LG MOD. PT-QAGWO (620*34*620 MM)</x:v>
      </x:c>
      <x:c r="G8" s="38" t="str">
        <x:v>PT-QAGWO</x:v>
      </x:c>
      <x:c r="H8" s="38" t="str">
        <x:v>Comercial Santana Alemán y González, S.L. (Grupo SAG)</x:v>
      </x:c>
      <x:c r="I8" s="38" t="str">
        <x:v>Presupuesto TF/26002193</x:v>
      </x:c>
      <x:c r="J8" s="115" t="str">
        <x:v>19/06/2026</x:v>
      </x:c>
      <x:c r="K8" s="38" t="str">
        <x:v>ULL</x:v>
      </x:c>
      <x:c r="L8" s="38" t="n">
        <x:v>5</x:v>
      </x:c>
      <x:c r="M8" s="38" t="str">
        <x:v>Unidad</x:v>
      </x:c>
      <x:c r="N8" s="38" t="n">
        <x:v>1</x:v>
      </x:c>
      <x:c r="O8" s="38" t="str">
        <x:v>Unidad</x:v>
      </x:c>
      <x:c r="P8" s="99" t="n">
        <x:v>204</x:v>
      </x:c>
      <x:c r="Q8" s="114" t="n">
        <x:v>0.45</x:v>
      </x:c>
      <x:c r="R8" s="99" t="n">
        <x:v>561</x:v>
      </x:c>
      <x:c r="S8" s="99" t="n">
        <x:f>IFERROR(R8/L8,P8*(1-Q8))</x:f>
        <x:v>112.2</x:v>
      </x:c>
      <x:c r="T8" s="114" t="n">
        <x:v>0.07</x:v>
      </x:c>
      <x:c r="U8" s="99" t="n">
        <x:f>S8*(1+T8)</x:f>
        <x:v>120.05400000000002</x:v>
      </x:c>
      <x:c r="V8" s="99" t="n">
        <x:f>S8</x:f>
        <x:v>112.2</x:v>
      </x:c>
      <x:c r="W8" s="99" t="n">
        <x:f>V8-S8</x:f>
        <x:v>0</x:v>
      </x:c>
      <x:c r="X8" s="114" t="n">
        <x:f>IFERROR(W8/V8,0)</x:f>
        <x:v>0</x:v>
      </x:c>
      <x:c r="Y8" s="38" t="str">
        <x:v>Por unidad</x:v>
      </x:c>
      <x:c r="Z8" s="38" t="str">
        <x:f>IF(Y8="Botella / 3 instalaciones","Precio botella / 3",IF(Y8="Por rollo o metros proporcionales","Si se pasa rollo: rollo completo. Si se pasan metros: proporcional",Y8))</x:f>
        <x:v>Por unidad</x:v>
      </x:c>
      <x:c r="AA8" s="38" t="n">
        <x:v>1</x:v>
      </x:c>
      <x:c r="AB8" s="38" t="str"/>
      <x:c r="AC8" s="38" t="str"/>
      <x:c r="AD8" s="116" t="str">
        <x:v>2026-06-30</x:v>
      </x:c>
      <x:c r="AE8" s="38" t="str">
        <x:v>Sí</x:v>
      </x:c>
      <x:c r="AF8" s="38" t="str">
        <x:v>Revisar categoría antes de usar en cálculo automático.</x:v>
      </x:c>
    </x:row>
    <x:row r="9">
      <x:c r="A9" s="38" t="str">
        <x:v>MAT-0008</x:v>
      </x:c>
      <x:c r="B9" s="38" t="str">
        <x:v>Sí</x:v>
      </x:c>
      <x:c r="C9" s="38" t="str">
        <x:v>Sin clasificar</x:v>
      </x:c>
      <x:c r="D9" s="38" t="str"/>
      <x:c r="E9" s="38" t="str">
        <x:v>Rollo De Cobre Desnudo 1/4 0,8 Mm 15,25 M</x:v>
      </x:c>
      <x:c r="F9" s="38" t="str">
        <x:v>ROLLO DE COBRE DESNUDO 1/4 0,8 MM 15,25 M</x:v>
      </x:c>
      <x:c r="G9" s="38" t="str">
        <x:v>4101124</x:v>
      </x:c>
      <x:c r="H9" s="38" t="str">
        <x:v>Comercial Santana Alemán y González, S.L. (Grupo SAG)</x:v>
      </x:c>
      <x:c r="I9" s="38" t="str">
        <x:v>Presupuesto TF/26002193</x:v>
      </x:c>
      <x:c r="J9" s="115" t="str">
        <x:v>19/06/2026</x:v>
      </x:c>
      <x:c r="K9" s="38" t="str">
        <x:v>ULL</x:v>
      </x:c>
      <x:c r="L9" s="38" t="n">
        <x:v>1</x:v>
      </x:c>
      <x:c r="M9" s="38" t="str">
        <x:v>Unidad</x:v>
      </x:c>
      <x:c r="N9" s="38" t="n">
        <x:v>1</x:v>
      </x:c>
      <x:c r="O9" s="38" t="str">
        <x:v>Unidad</x:v>
      </x:c>
      <x:c r="P9" s="99" t="n">
        <x:v>36</x:v>
      </x:c>
      <x:c r="Q9" s="114" t="n">
        <x:v>0</x:v>
      </x:c>
      <x:c r="R9" s="99" t="n">
        <x:v>36</x:v>
      </x:c>
      <x:c r="S9" s="99" t="n">
        <x:f>IFERROR(R9/L9,P9*(1-Q9))</x:f>
        <x:v>36</x:v>
      </x:c>
      <x:c r="T9" s="114" t="n">
        <x:v>0.07</x:v>
      </x:c>
      <x:c r="U9" s="99" t="n">
        <x:f>S9*(1+T9)</x:f>
        <x:v>38.52</x:v>
      </x:c>
      <x:c r="V9" s="99" t="n">
        <x:f>S9</x:f>
        <x:v>36</x:v>
      </x:c>
      <x:c r="W9" s="99" t="n">
        <x:f>V9-S9</x:f>
        <x:v>0</x:v>
      </x:c>
      <x:c r="X9" s="114" t="n">
        <x:f>IFERROR(W9/V9,0)</x:f>
        <x:v>0</x:v>
      </x:c>
      <x:c r="Y9" s="38" t="str">
        <x:v>Por unidad</x:v>
      </x:c>
      <x:c r="Z9" s="38" t="str">
        <x:f>IF(Y9="Botella / 3 instalaciones","Precio botella / 3",IF(Y9="Por rollo o metros proporcionales","Si se pasa rollo: rollo completo. Si se pasan metros: proporcional",Y9))</x:f>
        <x:v>Por unidad</x:v>
      </x:c>
      <x:c r="AA9" s="38" t="n">
        <x:v>1</x:v>
      </x:c>
      <x:c r="AB9" s="38" t="str"/>
      <x:c r="AC9" s="38" t="str"/>
      <x:c r="AD9" s="116" t="str">
        <x:v>2026-06-30</x:v>
      </x:c>
      <x:c r="AE9" s="38" t="str">
        <x:v>Sí</x:v>
      </x:c>
      <x:c r="AF9" s="38" t="str">
        <x:v>Revisar categoría antes de usar en cálculo automático.</x:v>
      </x:c>
    </x:row>
    <x:row r="10">
      <x:c r="A10" s="38" t="str">
        <x:v>MAT-0009</x:v>
      </x:c>
      <x:c r="B10" s="38" t="str">
        <x:v>Sí</x:v>
      </x:c>
      <x:c r="C10" s="38" t="str">
        <x:v>Tubería frigorífica</x:v>
      </x:c>
      <x:c r="D10" s="38" t="str">
        <x:v>Cobre frigorífico aislado</x:v>
      </x:c>
      <x:c r="E10" s="38" t="str">
        <x:v>Ml Tubo Cobre Rigido 3/8*0,8Mm (5 Metros)</x:v>
      </x:c>
      <x:c r="F10" s="38" t="str">
        <x:v>ML TUBO COBRE RIGIDO 3/8*0,8MM (5 METROS)</x:v>
      </x:c>
      <x:c r="G10" s="38" t="str">
        <x:v>4101006</x:v>
      </x:c>
      <x:c r="H10" s="38" t="str">
        <x:v>Comercial Santana Alemán y González, S.L. (Grupo SAG)</x:v>
      </x:c>
      <x:c r="I10" s="38" t="str">
        <x:v>Presupuesto TF/26002193</x:v>
      </x:c>
      <x:c r="J10" s="115" t="str">
        <x:v>19/06/2026</x:v>
      </x:c>
      <x:c r="K10" s="38" t="str">
        <x:v>ULL</x:v>
      </x:c>
      <x:c r="L10" s="38" t="n">
        <x:v>30</x:v>
      </x:c>
      <x:c r="M10" s="38" t="str">
        <x:v>Unidad</x:v>
      </x:c>
      <x:c r="N10" s="38" t="n">
        <x:v>1</x:v>
      </x:c>
      <x:c r="O10" s="38" t="str">
        <x:v>Unidad</x:v>
      </x:c>
      <x:c r="P10" s="99" t="n">
        <x:v>3.7</x:v>
      </x:c>
      <x:c r="Q10" s="114" t="n">
        <x:v>0</x:v>
      </x:c>
      <x:c r="R10" s="99" t="n">
        <x:v>111</x:v>
      </x:c>
      <x:c r="S10" s="99" t="n">
        <x:f>IFERROR(R10/L10,P10*(1-Q10))</x:f>
        <x:v>3.7</x:v>
      </x:c>
      <x:c r="T10" s="114" t="n">
        <x:v>0.07</x:v>
      </x:c>
      <x:c r="U10" s="99" t="n">
        <x:f>S10*(1+T10)</x:f>
        <x:v>3.9590000000000005</x:v>
      </x:c>
      <x:c r="V10" s="99" t="n">
        <x:f>S10</x:f>
        <x:v>3.7</x:v>
      </x:c>
      <x:c r="W10" s="99" t="n">
        <x:f>V10-S10</x:f>
        <x:v>0</x:v>
      </x:c>
      <x:c r="X10" s="114" t="n">
        <x:f>IFERROR(W10/V10,0)</x:f>
        <x:v>0</x:v>
      </x:c>
      <x:c r="Y10" s="38" t="str">
        <x:v>Por unidad</x:v>
      </x:c>
      <x:c r="Z10" s="38" t="str">
        <x:f>IF(Y10="Botella / 3 instalaciones","Precio botella / 3",IF(Y10="Por rollo o metros proporcionales","Si se pasa rollo: rollo completo. Si se pasan metros: proporcional",Y10))</x:f>
        <x:v>Por unidad</x:v>
      </x:c>
      <x:c r="AA10" s="38" t="n">
        <x:v>1</x:v>
      </x:c>
      <x:c r="AB10" s="38" t="str"/>
      <x:c r="AC10" s="38" t="str"/>
      <x:c r="AD10" s="116" t="str">
        <x:v>2026-06-30</x:v>
      </x:c>
      <x:c r="AE10" s="38" t="str">
        <x:v>No</x:v>
      </x:c>
      <x:c r="AF10" s="38" t="str"/>
    </x:row>
    <x:row r="11">
      <x:c r="A11" s="38" t="str">
        <x:v>MAT-0010</x:v>
      </x:c>
      <x:c r="B11" s="38" t="str">
        <x:v>Sí</x:v>
      </x:c>
      <x:c r="C11" s="38" t="str">
        <x:v>Tubería frigorífica</x:v>
      </x:c>
      <x:c r="D11" s="38" t="str">
        <x:v>Cobre frigorífico aislado</x:v>
      </x:c>
      <x:c r="E11" s="38" t="str">
        <x:v>Ml Tubo Cobre Rigido 1/2"*0,8Mm (5 Metros)</x:v>
      </x:c>
      <x:c r="F11" s="38" t="str">
        <x:v>ML TUBO COBRE RIGIDO 1/2"*0,8MM (5 METROS)</x:v>
      </x:c>
      <x:c r="G11" s="38" t="str">
        <x:v>4101134</x:v>
      </x:c>
      <x:c r="H11" s="38" t="str">
        <x:v>Comercial Santana Alemán y González, S.L. (Grupo SAG)</x:v>
      </x:c>
      <x:c r="I11" s="38" t="str">
        <x:v>Presupuesto TF/26002193</x:v>
      </x:c>
      <x:c r="J11" s="115" t="str">
        <x:v>19/06/2026</x:v>
      </x:c>
      <x:c r="K11" s="38" t="str">
        <x:v>ULL</x:v>
      </x:c>
      <x:c r="L11" s="38" t="n">
        <x:v>15</x:v>
      </x:c>
      <x:c r="M11" s="38" t="str">
        <x:v>Unidad</x:v>
      </x:c>
      <x:c r="N11" s="38" t="n">
        <x:v>1</x:v>
      </x:c>
      <x:c r="O11" s="38" t="str">
        <x:v>Unidad</x:v>
      </x:c>
      <x:c r="P11" s="99" t="n">
        <x:v>4.9</x:v>
      </x:c>
      <x:c r="Q11" s="114" t="n">
        <x:v>0</x:v>
      </x:c>
      <x:c r="R11" s="99" t="n">
        <x:v>73.5</x:v>
      </x:c>
      <x:c r="S11" s="99" t="n">
        <x:f>IFERROR(R11/L11,P11*(1-Q11))</x:f>
        <x:v>4.9</x:v>
      </x:c>
      <x:c r="T11" s="114" t="n">
        <x:v>0.07</x:v>
      </x:c>
      <x:c r="U11" s="99" t="n">
        <x:f>S11*(1+T11)</x:f>
        <x:v>5.243</x:v>
      </x:c>
      <x:c r="V11" s="99" t="n">
        <x:f>S11</x:f>
        <x:v>4.9</x:v>
      </x:c>
      <x:c r="W11" s="99" t="n">
        <x:f>V11-S11</x:f>
        <x:v>0</x:v>
      </x:c>
      <x:c r="X11" s="114" t="n">
        <x:f>IFERROR(W11/V11,0)</x:f>
        <x:v>0</x:v>
      </x:c>
      <x:c r="Y11" s="38" t="str">
        <x:v>Por unidad</x:v>
      </x:c>
      <x:c r="Z11" s="38" t="str">
        <x:f>IF(Y11="Botella / 3 instalaciones","Precio botella / 3",IF(Y11="Por rollo o metros proporcionales","Si se pasa rollo: rollo completo. Si se pasan metros: proporcional",Y11))</x:f>
        <x:v>Por unidad</x:v>
      </x:c>
      <x:c r="AA11" s="38" t="n">
        <x:v>1</x:v>
      </x:c>
      <x:c r="AB11" s="38" t="str"/>
      <x:c r="AC11" s="38" t="str"/>
      <x:c r="AD11" s="116" t="str">
        <x:v>2026-06-30</x:v>
      </x:c>
      <x:c r="AE11" s="38" t="str">
        <x:v>No</x:v>
      </x:c>
      <x:c r="AF11" s="38" t="str"/>
    </x:row>
    <x:row r="12">
      <x:c r="A12" s="38" t="str">
        <x:v>MAT-0011</x:v>
      </x:c>
      <x:c r="B12" s="38" t="str">
        <x:v>Sí</x:v>
      </x:c>
      <x:c r="C12" s="38" t="str">
        <x:v>Tubería frigorífica</x:v>
      </x:c>
      <x:c r="D12" s="38" t="str">
        <x:v>Cobre frigorífico aislado</x:v>
      </x:c>
      <x:c r="E12" s="38" t="str">
        <x:v>Ml Tubo Cobre Rigido 5/8"*0,8Mm (5 Metros)</x:v>
      </x:c>
      <x:c r="F12" s="38" t="str">
        <x:v>ML TUBO COBRE RIGIDO 5/8"*0,8MM (5 METROS)</x:v>
      </x:c>
      <x:c r="G12" s="38" t="str">
        <x:v>4101135</x:v>
      </x:c>
      <x:c r="H12" s="38" t="str">
        <x:v>Comercial Santana Alemán y González, S.L. (Grupo SAG)</x:v>
      </x:c>
      <x:c r="I12" s="38" t="str">
        <x:v>Presupuesto TF/26002193</x:v>
      </x:c>
      <x:c r="J12" s="115" t="str">
        <x:v>19/06/2026</x:v>
      </x:c>
      <x:c r="K12" s="38" t="str">
        <x:v>ULL</x:v>
      </x:c>
      <x:c r="L12" s="38" t="n">
        <x:v>30</x:v>
      </x:c>
      <x:c r="M12" s="38" t="str">
        <x:v>Unidad</x:v>
      </x:c>
      <x:c r="N12" s="38" t="n">
        <x:v>1</x:v>
      </x:c>
      <x:c r="O12" s="38" t="str">
        <x:v>Unidad</x:v>
      </x:c>
      <x:c r="P12" s="99" t="n">
        <x:v>6.4</x:v>
      </x:c>
      <x:c r="Q12" s="114" t="n">
        <x:v>0</x:v>
      </x:c>
      <x:c r="R12" s="99" t="n">
        <x:v>192</x:v>
      </x:c>
      <x:c r="S12" s="99" t="n">
        <x:f>IFERROR(R12/L12,P12*(1-Q12))</x:f>
        <x:v>6.4</x:v>
      </x:c>
      <x:c r="T12" s="114" t="n">
        <x:v>0.07</x:v>
      </x:c>
      <x:c r="U12" s="99" t="n">
        <x:f>S12*(1+T12)</x:f>
        <x:v>6.848000000000001</x:v>
      </x:c>
      <x:c r="V12" s="99" t="n">
        <x:f>S12</x:f>
        <x:v>6.4</x:v>
      </x:c>
      <x:c r="W12" s="99" t="n">
        <x:f>V12-S12</x:f>
        <x:v>0</x:v>
      </x:c>
      <x:c r="X12" s="114" t="n">
        <x:f>IFERROR(W12/V12,0)</x:f>
        <x:v>0</x:v>
      </x:c>
      <x:c r="Y12" s="38" t="str">
        <x:v>Por unidad</x:v>
      </x:c>
      <x:c r="Z12" s="38" t="str">
        <x:f>IF(Y12="Botella / 3 instalaciones","Precio botella / 3",IF(Y12="Por rollo o metros proporcionales","Si se pasa rollo: rollo completo. Si se pasan metros: proporcional",Y12))</x:f>
        <x:v>Por unidad</x:v>
      </x:c>
      <x:c r="AA12" s="38" t="n">
        <x:v>1</x:v>
      </x:c>
      <x:c r="AB12" s="38" t="str"/>
      <x:c r="AC12" s="38" t="str"/>
      <x:c r="AD12" s="116" t="str">
        <x:v>2026-06-30</x:v>
      </x:c>
      <x:c r="AE12" s="38" t="str">
        <x:v>No</x:v>
      </x:c>
      <x:c r="AF12" s="38" t="str"/>
    </x:row>
    <x:row r="13">
      <x:c r="A13" s="38" t="str">
        <x:v>MAT-0012</x:v>
      </x:c>
      <x:c r="B13" s="38" t="str">
        <x:v>Sí</x:v>
      </x:c>
      <x:c r="C13" s="38" t="str">
        <x:v>Tubería frigorífica</x:v>
      </x:c>
      <x:c r="D13" s="38" t="str">
        <x:v>Cobre frigorífico aislado</x:v>
      </x:c>
      <x:c r="E13" s="38" t="str">
        <x:v>Ml Tubo Cobre Rigido 3/4"*0,8Mm (5 Metros)</x:v>
      </x:c>
      <x:c r="F13" s="38" t="str">
        <x:v>ML TUBO COBRE RIGIDO 3/4"*0,8MM (5 METROS)</x:v>
      </x:c>
      <x:c r="G13" s="38" t="str">
        <x:v>4101136</x:v>
      </x:c>
      <x:c r="H13" s="38" t="str">
        <x:v>Comercial Santana Alemán y González, S.L. (Grupo SAG)</x:v>
      </x:c>
      <x:c r="I13" s="38" t="str">
        <x:v>Presupuesto TF/26002193</x:v>
      </x:c>
      <x:c r="J13" s="115" t="str">
        <x:v>19/06/2026</x:v>
      </x:c>
      <x:c r="K13" s="38" t="str">
        <x:v>ULL</x:v>
      </x:c>
      <x:c r="L13" s="38" t="n">
        <x:v>5</x:v>
      </x:c>
      <x:c r="M13" s="38" t="str">
        <x:v>Unidad</x:v>
      </x:c>
      <x:c r="N13" s="38" t="n">
        <x:v>1</x:v>
      </x:c>
      <x:c r="O13" s="38" t="str">
        <x:v>Unidad</x:v>
      </x:c>
      <x:c r="P13" s="99" t="n">
        <x:v>7.5</x:v>
      </x:c>
      <x:c r="Q13" s="114" t="n">
        <x:v>0</x:v>
      </x:c>
      <x:c r="R13" s="99" t="n">
        <x:v>37.5</x:v>
      </x:c>
      <x:c r="S13" s="99" t="n">
        <x:f>IFERROR(R13/L13,P13*(1-Q13))</x:f>
        <x:v>7.5</x:v>
      </x:c>
      <x:c r="T13" s="114" t="n">
        <x:v>0.07</x:v>
      </x:c>
      <x:c r="U13" s="99" t="n">
        <x:f>S13*(1+T13)</x:f>
        <x:v>8.025</x:v>
      </x:c>
      <x:c r="V13" s="99" t="n">
        <x:f>S13</x:f>
        <x:v>7.5</x:v>
      </x:c>
      <x:c r="W13" s="99" t="n">
        <x:f>V13-S13</x:f>
        <x:v>0</x:v>
      </x:c>
      <x:c r="X13" s="114" t="n">
        <x:f>IFERROR(W13/V13,0)</x:f>
        <x:v>0</x:v>
      </x:c>
      <x:c r="Y13" s="38" t="str">
        <x:v>Por unidad</x:v>
      </x:c>
      <x:c r="Z13" s="38" t="str">
        <x:f>IF(Y13="Botella / 3 instalaciones","Precio botella / 3",IF(Y13="Por rollo o metros proporcionales","Si se pasa rollo: rollo completo. Si se pasan metros: proporcional",Y13))</x:f>
        <x:v>Por unidad</x:v>
      </x:c>
      <x:c r="AA13" s="38" t="n">
        <x:v>1</x:v>
      </x:c>
      <x:c r="AB13" s="38" t="str"/>
      <x:c r="AC13" s="38" t="str"/>
      <x:c r="AD13" s="116" t="str">
        <x:v>2026-06-30</x:v>
      </x:c>
      <x:c r="AE13" s="38" t="str">
        <x:v>No</x:v>
      </x:c>
      <x:c r="AF13" s="38" t="str"/>
    </x:row>
    <x:row r="14">
      <x:c r="A14" s="38" t="str">
        <x:v>MAT-0013</x:v>
      </x:c>
      <x:c r="B14" s="38" t="str">
        <x:v>Sí</x:v>
      </x:c>
      <x:c r="C14" s="38" t="str">
        <x:v>Sin clasificar</x:v>
      </x:c>
      <x:c r="D14" s="38" t="str"/>
      <x:c r="E14" s="38" t="str">
        <x:v>Ml. Coquilla Kaiflex St -9 X 06 Mm</x:v>
      </x:c>
      <x:c r="F14" s="38" t="str">
        <x:v>ML. COQUILLA KAIFLEX ST -9 x 06 MM</x:v>
      </x:c>
      <x:c r="G14" s="38" t="str">
        <x:v>4001200</x:v>
      </x:c>
      <x:c r="H14" s="38" t="str">
        <x:v>Comercial Santana Alemán y González, S.L. (Grupo SAG)</x:v>
      </x:c>
      <x:c r="I14" s="38" t="str">
        <x:v>Presupuesto TF/26002193</x:v>
      </x:c>
      <x:c r="J14" s="115" t="str">
        <x:v>19/06/2026</x:v>
      </x:c>
      <x:c r="K14" s="38" t="str">
        <x:v>ULL</x:v>
      </x:c>
      <x:c r="L14" s="38" t="n">
        <x:v>16</x:v>
      </x:c>
      <x:c r="M14" s="38" t="str">
        <x:v>Unidad</x:v>
      </x:c>
      <x:c r="N14" s="38" t="n">
        <x:v>1</x:v>
      </x:c>
      <x:c r="O14" s="38" t="str">
        <x:v>Unidad</x:v>
      </x:c>
      <x:c r="P14" s="99" t="n">
        <x:v>1.3</x:v>
      </x:c>
      <x:c r="Q14" s="114" t="n">
        <x:v>0.62</x:v>
      </x:c>
      <x:c r="R14" s="99" t="n">
        <x:v>7.9</x:v>
      </x:c>
      <x:c r="S14" s="99" t="n">
        <x:f>IFERROR(R14/L14,P14*(1-Q14))</x:f>
        <x:v>0.49375</x:v>
      </x:c>
      <x:c r="T14" s="114" t="n">
        <x:v>0.03</x:v>
      </x:c>
      <x:c r="U14" s="99" t="n">
        <x:f>S14*(1+T14)</x:f>
        <x:v>0.5085625</x:v>
      </x:c>
      <x:c r="V14" s="99" t="n">
        <x:f>S14</x:f>
        <x:v>0.49375</x:v>
      </x:c>
      <x:c r="W14" s="99" t="n">
        <x:f>V14-S14</x:f>
        <x:v>0</x:v>
      </x:c>
      <x:c r="X14" s="114" t="n">
        <x:f>IFERROR(W14/V14,0)</x:f>
        <x:v>0</x:v>
      </x:c>
      <x:c r="Y14" s="38" t="str">
        <x:v>Por unidad</x:v>
      </x:c>
      <x:c r="Z14" s="38" t="str">
        <x:f>IF(Y14="Botella / 3 instalaciones","Precio botella / 3",IF(Y14="Por rollo o metros proporcionales","Si se pasa rollo: rollo completo. Si se pasan metros: proporcional",Y14))</x:f>
        <x:v>Por unidad</x:v>
      </x:c>
      <x:c r="AA14" s="38" t="n">
        <x:v>1</x:v>
      </x:c>
      <x:c r="AB14" s="38" t="str"/>
      <x:c r="AC14" s="38" t="str"/>
      <x:c r="AD14" s="116" t="str">
        <x:v>2026-06-30</x:v>
      </x:c>
      <x:c r="AE14" s="38" t="str">
        <x:v>Sí</x:v>
      </x:c>
      <x:c r="AF14" s="38" t="str">
        <x:v>Revisar categoría antes de usar en cálculo automático.</x:v>
      </x:c>
    </x:row>
    <x:row r="15">
      <x:c r="A15" s="38" t="str">
        <x:v>MAT-0014</x:v>
      </x:c>
      <x:c r="B15" s="38" t="str">
        <x:v>Sí</x:v>
      </x:c>
      <x:c r="C15" s="38" t="str">
        <x:v>Sin clasificar</x:v>
      </x:c>
      <x:c r="D15" s="38" t="str"/>
      <x:c r="E15" s="38" t="str">
        <x:v>Ml. Coquilla Kaiflex St 9 X 10 Mm</x:v>
      </x:c>
      <x:c r="F15" s="38" t="str">
        <x:v>ML. COQUILLA KAIFLEX ST 9 X 10 MM</x:v>
      </x:c>
      <x:c r="G15" s="38" t="str">
        <x:v>4001202</x:v>
      </x:c>
      <x:c r="H15" s="38" t="str">
        <x:v>Comercial Santana Alemán y González, S.L. (Grupo SAG)</x:v>
      </x:c>
      <x:c r="I15" s="38" t="str">
        <x:v>Presupuesto TF/26002193</x:v>
      </x:c>
      <x:c r="J15" s="115" t="str">
        <x:v>19/06/2026</x:v>
      </x:c>
      <x:c r="K15" s="38" t="str">
        <x:v>ULL</x:v>
      </x:c>
      <x:c r="L15" s="38" t="n">
        <x:v>30</x:v>
      </x:c>
      <x:c r="M15" s="38" t="str">
        <x:v>Unidad</x:v>
      </x:c>
      <x:c r="N15" s="38" t="n">
        <x:v>1</x:v>
      </x:c>
      <x:c r="O15" s="38" t="str">
        <x:v>Unidad</x:v>
      </x:c>
      <x:c r="P15" s="99" t="n">
        <x:v>1.46</x:v>
      </x:c>
      <x:c r="Q15" s="114" t="n">
        <x:v>0.62</x:v>
      </x:c>
      <x:c r="R15" s="99" t="n">
        <x:v>16.64</x:v>
      </x:c>
      <x:c r="S15" s="99" t="n">
        <x:f>IFERROR(R15/L15,P15*(1-Q15))</x:f>
        <x:v>0.5546666666666666</x:v>
      </x:c>
      <x:c r="T15" s="114" t="n">
        <x:v>0.03</x:v>
      </x:c>
      <x:c r="U15" s="99" t="n">
        <x:f>S15*(1+T15)</x:f>
        <x:v>0.5713066666666666</x:v>
      </x:c>
      <x:c r="V15" s="99" t="n">
        <x:f>S15</x:f>
        <x:v>0.5546666666666666</x:v>
      </x:c>
      <x:c r="W15" s="99" t="n">
        <x:f>V15-S15</x:f>
        <x:v>0</x:v>
      </x:c>
      <x:c r="X15" s="114" t="n">
        <x:f>IFERROR(W15/V15,0)</x:f>
        <x:v>0</x:v>
      </x:c>
      <x:c r="Y15" s="38" t="str">
        <x:v>Por unidad</x:v>
      </x:c>
      <x:c r="Z15" s="38" t="str">
        <x:f>IF(Y15="Botella / 3 instalaciones","Precio botella / 3",IF(Y15="Por rollo o metros proporcionales","Si se pasa rollo: rollo completo. Si se pasan metros: proporcional",Y15))</x:f>
        <x:v>Por unidad</x:v>
      </x:c>
      <x:c r="AA15" s="38" t="n">
        <x:v>1</x:v>
      </x:c>
      <x:c r="AB15" s="38" t="str"/>
      <x:c r="AC15" s="38" t="str"/>
      <x:c r="AD15" s="116" t="str">
        <x:v>2026-06-30</x:v>
      </x:c>
      <x:c r="AE15" s="38" t="str">
        <x:v>Sí</x:v>
      </x:c>
      <x:c r="AF15" s="38" t="str">
        <x:v>Revisar categoría antes de usar en cálculo automático.</x:v>
      </x:c>
    </x:row>
    <x:row r="16">
      <x:c r="A16" s="38" t="str">
        <x:v>MAT-0015</x:v>
      </x:c>
      <x:c r="B16" s="38" t="str">
        <x:v>Sí</x:v>
      </x:c>
      <x:c r="C16" s="38" t="str">
        <x:v>Sin clasificar</x:v>
      </x:c>
      <x:c r="D16" s="38" t="str"/>
      <x:c r="E16" s="38" t="str">
        <x:v>Ml Coquilla Evocell It-Flex C1 9X12 (1/2) 2 Metros</x:v>
      </x:c>
      <x:c r="F16" s="38" t="str">
        <x:v>ML COQUILLA EVOCELL IT-FLEX C1 9X12 (1/2) 2 METROS</x:v>
      </x:c>
      <x:c r="G16" s="38" t="str">
        <x:v>EVF012</x:v>
      </x:c>
      <x:c r="H16" s="38" t="str">
        <x:v>Comercial Santana Alemán y González, S.L. (Grupo SAG)</x:v>
      </x:c>
      <x:c r="I16" s="38" t="str">
        <x:v>Presupuesto TF/26002193</x:v>
      </x:c>
      <x:c r="J16" s="115" t="str">
        <x:v>19/06/2026</x:v>
      </x:c>
      <x:c r="K16" s="38" t="str">
        <x:v>ULL</x:v>
      </x:c>
      <x:c r="L16" s="38" t="n">
        <x:v>16</x:v>
      </x:c>
      <x:c r="M16" s="38" t="str">
        <x:v>Unidad</x:v>
      </x:c>
      <x:c r="N16" s="38" t="n">
        <x:v>1</x:v>
      </x:c>
      <x:c r="O16" s="38" t="str">
        <x:v>Unidad</x:v>
      </x:c>
      <x:c r="P16" s="99" t="n">
        <x:v>1.398</x:v>
      </x:c>
      <x:c r="Q16" s="114" t="n">
        <x:v>0.62</x:v>
      </x:c>
      <x:c r="R16" s="99" t="n">
        <x:v>8.5</x:v>
      </x:c>
      <x:c r="S16" s="99" t="n">
        <x:f>IFERROR(R16/L16,P16*(1-Q16))</x:f>
        <x:v>0.53125</x:v>
      </x:c>
      <x:c r="T16" s="114" t="n">
        <x:v>0.03</x:v>
      </x:c>
      <x:c r="U16" s="99" t="n">
        <x:f>S16*(1+T16)</x:f>
        <x:v>0.5471875</x:v>
      </x:c>
      <x:c r="V16" s="99" t="n">
        <x:f>S16</x:f>
        <x:v>0.53125</x:v>
      </x:c>
      <x:c r="W16" s="99" t="n">
        <x:f>V16-S16</x:f>
        <x:v>0</x:v>
      </x:c>
      <x:c r="X16" s="114" t="n">
        <x:f>IFERROR(W16/V16,0)</x:f>
        <x:v>0</x:v>
      </x:c>
      <x:c r="Y16" s="38" t="str">
        <x:v>Por unidad</x:v>
      </x:c>
      <x:c r="Z16" s="38" t="str">
        <x:f>IF(Y16="Botella / 3 instalaciones","Precio botella / 3",IF(Y16="Por rollo o metros proporcionales","Si se pasa rollo: rollo completo. Si se pasan metros: proporcional",Y16))</x:f>
        <x:v>Por unidad</x:v>
      </x:c>
      <x:c r="AA16" s="38" t="n">
        <x:v>1</x:v>
      </x:c>
      <x:c r="AB16" s="38" t="str"/>
      <x:c r="AC16" s="38" t="str"/>
      <x:c r="AD16" s="116" t="str">
        <x:v>2026-06-30</x:v>
      </x:c>
      <x:c r="AE16" s="38" t="str">
        <x:v>Sí</x:v>
      </x:c>
      <x:c r="AF16" s="38" t="str">
        <x:v>Revisar categoría antes de usar en cálculo automático.</x:v>
      </x:c>
    </x:row>
    <x:row r="17">
      <x:c r="A17" s="38" t="str">
        <x:v>MAT-0016</x:v>
      </x:c>
      <x:c r="B17" s="38" t="str">
        <x:v>Sí</x:v>
      </x:c>
      <x:c r="C17" s="38" t="str">
        <x:v>Sin clasificar</x:v>
      </x:c>
      <x:c r="D17" s="38" t="str"/>
      <x:c r="E17" s="38" t="str">
        <x:v>Ml. Coquilla Kaiflex St 19 X 15 Mm (2Mt)</x:v>
      </x:c>
      <x:c r="F17" s="38" t="str">
        <x:v>ML. COQUILLA KAIFLEX ST 19 X 15 MM (2mt)</x:v>
      </x:c>
      <x:c r="G17" s="38" t="str">
        <x:v>4001269</x:v>
      </x:c>
      <x:c r="H17" s="38" t="str">
        <x:v>Comercial Santana Alemán y González, S.L. (Grupo SAG)</x:v>
      </x:c>
      <x:c r="I17" s="38" t="str">
        <x:v>Presupuesto TF/26002193</x:v>
      </x:c>
      <x:c r="J17" s="115" t="str">
        <x:v>19/06/2026</x:v>
      </x:c>
      <x:c r="K17" s="38" t="str">
        <x:v>ULL</x:v>
      </x:c>
      <x:c r="L17" s="38" t="n">
        <x:v>30</x:v>
      </x:c>
      <x:c r="M17" s="38" t="str">
        <x:v>Unidad</x:v>
      </x:c>
      <x:c r="N17" s="38" t="n">
        <x:v>1</x:v>
      </x:c>
      <x:c r="O17" s="38" t="str">
        <x:v>Unidad</x:v>
      </x:c>
      <x:c r="P17" s="99" t="n">
        <x:v>6.07</x:v>
      </x:c>
      <x:c r="Q17" s="114" t="n">
        <x:v>0.62</x:v>
      </x:c>
      <x:c r="R17" s="99" t="n">
        <x:v>69.2</x:v>
      </x:c>
      <x:c r="S17" s="99" t="n">
        <x:f>IFERROR(R17/L17,P17*(1-Q17))</x:f>
        <x:v>2.3066666666666666</x:v>
      </x:c>
      <x:c r="T17" s="114" t="n">
        <x:v>0.03</x:v>
      </x:c>
      <x:c r="U17" s="99" t="n">
        <x:f>S17*(1+T17)</x:f>
        <x:v>2.3758666666666666</x:v>
      </x:c>
      <x:c r="V17" s="99" t="n">
        <x:f>S17</x:f>
        <x:v>2.3066666666666666</x:v>
      </x:c>
      <x:c r="W17" s="99" t="n">
        <x:f>V17-S17</x:f>
        <x:v>0</x:v>
      </x:c>
      <x:c r="X17" s="114" t="n">
        <x:f>IFERROR(W17/V17,0)</x:f>
        <x:v>0</x:v>
      </x:c>
      <x:c r="Y17" s="38" t="str">
        <x:v>Por unidad</x:v>
      </x:c>
      <x:c r="Z17" s="38" t="str">
        <x:f>IF(Y17="Botella / 3 instalaciones","Precio botella / 3",IF(Y17="Por rollo o metros proporcionales","Si se pasa rollo: rollo completo. Si se pasan metros: proporcional",Y17))</x:f>
        <x:v>Por unidad</x:v>
      </x:c>
      <x:c r="AA17" s="38" t="n">
        <x:v>1</x:v>
      </x:c>
      <x:c r="AB17" s="38" t="str"/>
      <x:c r="AC17" s="38" t="str"/>
      <x:c r="AD17" s="116" t="str">
        <x:v>2026-06-30</x:v>
      </x:c>
      <x:c r="AE17" s="38" t="str">
        <x:v>Sí</x:v>
      </x:c>
      <x:c r="AF17" s="38" t="str">
        <x:v>Revisar categoría antes de usar en cálculo automático.</x:v>
      </x:c>
    </x:row>
    <x:row r="18">
      <x:c r="A18" s="38" t="str">
        <x:v>MAT-0017</x:v>
      </x:c>
      <x:c r="B18" s="38" t="str">
        <x:v>Sí</x:v>
      </x:c>
      <x:c r="C18" s="38" t="str">
        <x:v>Sin clasificar</x:v>
      </x:c>
      <x:c r="D18" s="38" t="str"/>
      <x:c r="E18" s="38" t="str">
        <x:v>Ml. Coquilla Kaiflex St 19 X 20 Mm (2Mt)</x:v>
      </x:c>
      <x:c r="F18" s="38" t="str">
        <x:v>ML. COQUILLA KAIFLEX ST 19 x 20 MM (2mt)</x:v>
      </x:c>
      <x:c r="G18" s="38" t="str">
        <x:v>4001271</x:v>
      </x:c>
      <x:c r="H18" s="38" t="str">
        <x:v>Comercial Santana Alemán y González, S.L. (Grupo SAG)</x:v>
      </x:c>
      <x:c r="I18" s="38" t="str">
        <x:v>Presupuesto TF/26002193</x:v>
      </x:c>
      <x:c r="J18" s="115" t="str">
        <x:v>19/06/2026</x:v>
      </x:c>
      <x:c r="K18" s="38" t="str">
        <x:v>ULL</x:v>
      </x:c>
      <x:c r="L18" s="38" t="n">
        <x:v>6</x:v>
      </x:c>
      <x:c r="M18" s="38" t="str">
        <x:v>Unidad</x:v>
      </x:c>
      <x:c r="N18" s="38" t="n">
        <x:v>1</x:v>
      </x:c>
      <x:c r="O18" s="38" t="str">
        <x:v>Unidad</x:v>
      </x:c>
      <x:c r="P18" s="99" t="n">
        <x:v>7.43</x:v>
      </x:c>
      <x:c r="Q18" s="114" t="n">
        <x:v>0.62</x:v>
      </x:c>
      <x:c r="R18" s="99" t="n">
        <x:v>16.94</x:v>
      </x:c>
      <x:c r="S18" s="99" t="n">
        <x:f>IFERROR(R18/L18,P18*(1-Q18))</x:f>
        <x:v>2.8233333333333337</x:v>
      </x:c>
      <x:c r="T18" s="114" t="n">
        <x:v>0.03</x:v>
      </x:c>
      <x:c r="U18" s="99" t="n">
        <x:f>S18*(1+T18)</x:f>
        <x:v>2.908033333333334</x:v>
      </x:c>
      <x:c r="V18" s="99" t="n">
        <x:f>S18</x:f>
        <x:v>2.8233333333333337</x:v>
      </x:c>
      <x:c r="W18" s="99" t="n">
        <x:f>V18-S18</x:f>
        <x:v>0</x:v>
      </x:c>
      <x:c r="X18" s="114" t="n">
        <x:f>IFERROR(W18/V18,0)</x:f>
        <x:v>0</x:v>
      </x:c>
      <x:c r="Y18" s="38" t="str">
        <x:v>Por unidad</x:v>
      </x:c>
      <x:c r="Z18" s="38" t="str">
        <x:f>IF(Y18="Botella / 3 instalaciones","Precio botella / 3",IF(Y18="Por rollo o metros proporcionales","Si se pasa rollo: rollo completo. Si se pasan metros: proporcional",Y18))</x:f>
        <x:v>Por unidad</x:v>
      </x:c>
      <x:c r="AA18" s="38" t="n">
        <x:v>1</x:v>
      </x:c>
      <x:c r="AB18" s="38" t="str"/>
      <x:c r="AC18" s="38" t="str"/>
      <x:c r="AD18" s="116" t="str">
        <x:v>2026-06-30</x:v>
      </x:c>
      <x:c r="AE18" s="38" t="str">
        <x:v>Sí</x:v>
      </x:c>
      <x:c r="AF18" s="38" t="str">
        <x:v>Revisar categoría antes de usar en cálculo automático.</x:v>
      </x:c>
    </x:row>
    <x:row r="19">
      <x:c r="A19" s="38" t="str">
        <x:v>MAT-0018</x:v>
      </x:c>
      <x:c r="B19" s="38" t="str">
        <x:v>Sí</x:v>
      </x:c>
      <x:c r="C19" s="38" t="str">
        <x:v>Electricidad</x:v>
      </x:c>
      <x:c r="D19" s="38" t="str">
        <x:v>Cable eléctrico</x:v>
      </x:c>
      <x:c r="E19" s="38" t="str">
        <x:v>Ml Cable Bus (2X0.5+2X0.22) "Bobina De 500 M"</x:v>
      </x:c>
      <x:c r="F19" s="38" t="str">
        <x:v>ML CABLE BUS (2x0.5+2x0.22) "BOBINA DE 500 M"</x:v>
      </x:c>
      <x:c r="G19" s="38" t="str">
        <x:v>AZX6CABLEBUS500</x:v>
      </x:c>
      <x:c r="H19" s="38" t="str">
        <x:v>Comercial Santana Alemán y González, S.L. (Grupo SAG)</x:v>
      </x:c>
      <x:c r="I19" s="38" t="str">
        <x:v>Presupuesto TF/26002193</x:v>
      </x:c>
      <x:c r="J19" s="115" t="str">
        <x:v>19/06/2026</x:v>
      </x:c>
      <x:c r="K19" s="38" t="str">
        <x:v>ULL</x:v>
      </x:c>
      <x:c r="L19" s="38" t="n">
        <x:v>50</x:v>
      </x:c>
      <x:c r="M19" s="38" t="str">
        <x:v>Unidad</x:v>
      </x:c>
      <x:c r="N19" s="38" t="n">
        <x:v>1</x:v>
      </x:c>
      <x:c r="O19" s="38" t="str">
        <x:v>Unidad</x:v>
      </x:c>
      <x:c r="P19" s="99" t="n">
        <x:v>0.96</x:v>
      </x:c>
      <x:c r="Q19" s="114" t="n">
        <x:v>0.4</x:v>
      </x:c>
      <x:c r="R19" s="99" t="n">
        <x:v>28.8</x:v>
      </x:c>
      <x:c r="S19" s="99" t="n">
        <x:f>IFERROR(R19/L19,P19*(1-Q19))</x:f>
        <x:v>0.5760000000000001</x:v>
      </x:c>
      <x:c r="T19" s="114" t="n">
        <x:v>0.07</x:v>
      </x:c>
      <x:c r="U19" s="99" t="n">
        <x:f>S19*(1+T19)</x:f>
        <x:v>0.6163200000000001</x:v>
      </x:c>
      <x:c r="V19" s="99" t="n">
        <x:f>S19</x:f>
        <x:v>0.5760000000000001</x:v>
      </x:c>
      <x:c r="W19" s="99" t="n">
        <x:f>V19-S19</x:f>
        <x:v>0</x:v>
      </x:c>
      <x:c r="X19" s="114" t="n">
        <x:f>IFERROR(W19/V19,0)</x:f>
        <x:v>0</x:v>
      </x:c>
      <x:c r="Y19" s="38" t="str">
        <x:v>Por unidad</x:v>
      </x:c>
      <x:c r="Z19" s="38" t="str">
        <x:f>IF(Y19="Botella / 3 instalaciones","Precio botella / 3",IF(Y19="Por rollo o metros proporcionales","Si se pasa rollo: rollo completo. Si se pasan metros: proporcional",Y19))</x:f>
        <x:v>Por unidad</x:v>
      </x:c>
      <x:c r="AA19" s="38" t="n">
        <x:v>1</x:v>
      </x:c>
      <x:c r="AB19" s="38" t="str"/>
      <x:c r="AC19" s="38" t="str"/>
      <x:c r="AD19" s="116" t="str">
        <x:v>2026-06-30</x:v>
      </x:c>
      <x:c r="AE19" s="38" t="str">
        <x:v>No</x:v>
      </x:c>
      <x:c r="AF19" s="38" t="str"/>
    </x:row>
    <x:row r="20">
      <x:c r="A20" s="38" t="str">
        <x:v>MAT-0019</x:v>
      </x:c>
      <x:c r="B20" s="38" t="str">
        <x:v>Sí</x:v>
      </x:c>
      <x:c r="C20" s="38" t="str">
        <x:v>Conductos/Ventilación</x:v>
      </x:c>
      <x:c r="D20" s="38" t="str">
        <x:v>Conducto/accesorio</x:v>
      </x:c>
      <x:c r="E20" s="38" t="str">
        <x:v>Rejilla De Lamas Fijas A 45º Rrf 300*100 (Perforada)</x:v>
      </x:c>
      <x:c r="F20" s="38" t="str">
        <x:v>REJILLA DE LAMAS FIJAS A 45º RRF 300*100 (PERFORADA)</x:v>
      </x:c>
      <x:c r="G20" s="38" t="str">
        <x:v>DF-RRF-300100</x:v>
      </x:c>
      <x:c r="H20" s="38" t="str">
        <x:v>Comercial Santana Alemán y González, S.L. (Grupo SAG)</x:v>
      </x:c>
      <x:c r="I20" s="38" t="str">
        <x:v>Factura FM/6785</x:v>
      </x:c>
      <x:c r="J20" s="115" t="str">
        <x:v>30/04/2026</x:v>
      </x:c>
      <x:c r="K20" s="38" t="str">
        <x:v>Albarán NT/26.001.179</x:v>
      </x:c>
      <x:c r="L20" s="38" t="n">
        <x:v>2</x:v>
      </x:c>
      <x:c r="M20" s="38" t="str">
        <x:v>Unidad</x:v>
      </x:c>
      <x:c r="N20" s="38" t="n">
        <x:v>1</x:v>
      </x:c>
      <x:c r="O20" s="38" t="str">
        <x:v>Unidad</x:v>
      </x:c>
      <x:c r="P20" s="99" t="n">
        <x:v>16.22</x:v>
      </x:c>
      <x:c r="Q20" s="114" t="n">
        <x:v>0.4</x:v>
      </x:c>
      <x:c r="R20" s="99" t="n">
        <x:v>19.46</x:v>
      </x:c>
      <x:c r="S20" s="99" t="n">
        <x:f>IFERROR(R20/L20,P20*(1-Q20))</x:f>
        <x:v>9.73</x:v>
      </x:c>
      <x:c r="T20" s="114" t="n">
        <x:v>0.07</x:v>
      </x:c>
      <x:c r="U20" s="99" t="n">
        <x:f>S20*(1+T20)</x:f>
        <x:v>10.411100000000001</x:v>
      </x:c>
      <x:c r="V20" s="99" t="n">
        <x:f>S20</x:f>
        <x:v>9.73</x:v>
      </x:c>
      <x:c r="W20" s="99" t="n">
        <x:f>V20-S20</x:f>
        <x:v>0</x:v>
      </x:c>
      <x:c r="X20" s="114" t="n">
        <x:f>IFERROR(W20/V20,0)</x:f>
        <x:v>0</x:v>
      </x:c>
      <x:c r="Y20" s="38" t="str">
        <x:v>Por unidad</x:v>
      </x:c>
      <x:c r="Z20" s="38" t="str">
        <x:f>IF(Y20="Botella / 3 instalaciones","Precio botella / 3",IF(Y20="Por rollo o metros proporcionales","Si se pasa rollo: rollo completo. Si se pasan metros: proporcional",Y20))</x:f>
        <x:v>Por unidad</x:v>
      </x:c>
      <x:c r="AA20" s="38" t="n">
        <x:v>1</x:v>
      </x:c>
      <x:c r="AB20" s="38" t="str"/>
      <x:c r="AC20" s="38" t="str"/>
      <x:c r="AD20" s="116" t="str">
        <x:v>2026-06-30</x:v>
      </x:c>
      <x:c r="AE20" s="38" t="str">
        <x:v>No</x:v>
      </x:c>
      <x:c r="AF20" s="38" t="str"/>
    </x:row>
    <x:row r="21">
      <x:c r="A21" s="38" t="str">
        <x:v>MAT-0020</x:v>
      </x:c>
      <x:c r="B21" s="38" t="str">
        <x:v>Sí</x:v>
      </x:c>
      <x:c r="C21" s="38" t="str">
        <x:v>Conductos/Ventilación</x:v>
      </x:c>
      <x:c r="D21" s="38" t="str">
        <x:v>Conducto/accesorio</x:v>
      </x:c>
      <x:c r="E21" s="38" t="str">
        <x:v>Manguito Galvanizado De 100 Mm</x:v>
      </x:c>
      <x:c r="F21" s="38" t="str">
        <x:v>MANGUITO GALVANIZADO DE 100 MM</x:v>
      </x:c>
      <x:c r="G21" s="38" t="str">
        <x:v>CG-MAN-100</x:v>
      </x:c>
      <x:c r="H21" s="38" t="str">
        <x:v>Comercial Santana Alemán y González, S.L. (Grupo SAG)</x:v>
      </x:c>
      <x:c r="I21" s="38" t="str">
        <x:v>Factura FM/6785</x:v>
      </x:c>
      <x:c r="J21" s="115" t="str">
        <x:v>30/04/2026</x:v>
      </x:c>
      <x:c r="K21" s="38" t="str">
        <x:v>Albarán NT/26.001.179</x:v>
      </x:c>
      <x:c r="L21" s="38" t="n">
        <x:v>4</x:v>
      </x:c>
      <x:c r="M21" s="38" t="str">
        <x:v>Unidad</x:v>
      </x:c>
      <x:c r="N21" s="38" t="n">
        <x:v>1</x:v>
      </x:c>
      <x:c r="O21" s="38" t="str">
        <x:v>Unidad</x:v>
      </x:c>
      <x:c r="P21" s="99" t="n">
        <x:v>3.75</x:v>
      </x:c>
      <x:c r="Q21" s="114" t="n">
        <x:v>0.5</x:v>
      </x:c>
      <x:c r="R21" s="99" t="n">
        <x:v>7.5</x:v>
      </x:c>
      <x:c r="S21" s="99" t="n">
        <x:f>IFERROR(R21/L21,P21*(1-Q21))</x:f>
        <x:v>1.875</x:v>
      </x:c>
      <x:c r="T21" s="114" t="n">
        <x:v>0.07</x:v>
      </x:c>
      <x:c r="U21" s="99" t="n">
        <x:f>S21*(1+T21)</x:f>
        <x:v>2.00625</x:v>
      </x:c>
      <x:c r="V21" s="99" t="n">
        <x:f>S21</x:f>
        <x:v>1.875</x:v>
      </x:c>
      <x:c r="W21" s="99" t="n">
        <x:f>V21-S21</x:f>
        <x:v>0</x:v>
      </x:c>
      <x:c r="X21" s="114" t="n">
        <x:f>IFERROR(W21/V21,0)</x:f>
        <x:v>0</x:v>
      </x:c>
      <x:c r="Y21" s="38" t="str">
        <x:v>Por unidad</x:v>
      </x:c>
      <x:c r="Z21" s="38" t="str">
        <x:f>IF(Y21="Botella / 3 instalaciones","Precio botella / 3",IF(Y21="Por rollo o metros proporcionales","Si se pasa rollo: rollo completo. Si se pasan metros: proporcional",Y21))</x:f>
        <x:v>Por unidad</x:v>
      </x:c>
      <x:c r="AA21" s="38" t="n">
        <x:v>1</x:v>
      </x:c>
      <x:c r="AB21" s="38" t="str"/>
      <x:c r="AC21" s="38" t="str"/>
      <x:c r="AD21" s="116" t="str">
        <x:v>2026-06-30</x:v>
      </x:c>
      <x:c r="AE21" s="38" t="str">
        <x:v>No</x:v>
      </x:c>
      <x:c r="AF21" s="38" t="str"/>
    </x:row>
    <x:row r="22">
      <x:c r="A22" s="38" t="str">
        <x:v>MAT-0021</x:v>
      </x:c>
      <x:c r="B22" s="38" t="str">
        <x:v>Sí</x:v>
      </x:c>
      <x:c r="C22" s="38" t="str">
        <x:v>Sin clasificar</x:v>
      </x:c>
      <x:c r="D22" s="38" t="str"/>
      <x:c r="E22" s="38" t="str">
        <x:v>Compuerta De Regulacion Circular 100 Mm</x:v>
      </x:c>
      <x:c r="F22" s="38" t="str">
        <x:v>COMPUERTA DE REGULACION CIRCULAR 100 MM</x:v>
      </x:c>
      <x:c r="G22" s="38" t="str">
        <x:v>CF-REG-100</x:v>
      </x:c>
      <x:c r="H22" s="38" t="str">
        <x:v>Comercial Santana Alemán y González, S.L. (Grupo SAG)</x:v>
      </x:c>
      <x:c r="I22" s="38" t="str">
        <x:v>Factura FM/6785</x:v>
      </x:c>
      <x:c r="J22" s="115" t="str">
        <x:v>30/04/2026</x:v>
      </x:c>
      <x:c r="K22" s="38" t="str">
        <x:v>Albarán NT/26.001.179</x:v>
      </x:c>
      <x:c r="L22" s="38" t="n">
        <x:v>2</x:v>
      </x:c>
      <x:c r="M22" s="38" t="str">
        <x:v>Unidad</x:v>
      </x:c>
      <x:c r="N22" s="38" t="n">
        <x:v>1</x:v>
      </x:c>
      <x:c r="O22" s="38" t="str">
        <x:v>Unidad</x:v>
      </x:c>
      <x:c r="P22" s="99" t="n">
        <x:v>22.98</x:v>
      </x:c>
      <x:c r="Q22" s="114" t="n">
        <x:v>0.4</x:v>
      </x:c>
      <x:c r="R22" s="99" t="n">
        <x:v>27.58</x:v>
      </x:c>
      <x:c r="S22" s="99" t="n">
        <x:f>IFERROR(R22/L22,P22*(1-Q22))</x:f>
        <x:v>13.79</x:v>
      </x:c>
      <x:c r="T22" s="114" t="n">
        <x:v>0.07</x:v>
      </x:c>
      <x:c r="U22" s="99" t="n">
        <x:f>S22*(1+T22)</x:f>
        <x:v>14.7553</x:v>
      </x:c>
      <x:c r="V22" s="99" t="n">
        <x:f>S22</x:f>
        <x:v>13.79</x:v>
      </x:c>
      <x:c r="W22" s="99" t="n">
        <x:f>V22-S22</x:f>
        <x:v>0</x:v>
      </x:c>
      <x:c r="X22" s="114" t="n">
        <x:f>IFERROR(W22/V22,0)</x:f>
        <x:v>0</x:v>
      </x:c>
      <x:c r="Y22" s="38" t="str">
        <x:v>Por unidad</x:v>
      </x:c>
      <x:c r="Z22" s="38" t="str">
        <x:f>IF(Y22="Botella / 3 instalaciones","Precio botella / 3",IF(Y22="Por rollo o metros proporcionales","Si se pasa rollo: rollo completo. Si se pasan metros: proporcional",Y22))</x:f>
        <x:v>Por unidad</x:v>
      </x:c>
      <x:c r="AA22" s="38" t="n">
        <x:v>1</x:v>
      </x:c>
      <x:c r="AB22" s="38" t="str"/>
      <x:c r="AC22" s="38" t="str"/>
      <x:c r="AD22" s="116" t="str">
        <x:v>2026-06-30</x:v>
      </x:c>
      <x:c r="AE22" s="38" t="str">
        <x:v>Sí</x:v>
      </x:c>
      <x:c r="AF22" s="38" t="str">
        <x:v>Revisar categoría antes de usar en cálculo automático.</x:v>
      </x:c>
    </x:row>
    <x:row r="23">
      <x:c r="A23" s="38" t="str">
        <x:v>MAT-0022</x:v>
      </x:c>
      <x:c r="B23" s="38" t="str">
        <x:v>Sí</x:v>
      </x:c>
      <x:c r="C23" s="38" t="str">
        <x:v>Sin clasificar</x:v>
      </x:c>
      <x:c r="D23" s="38" t="str"/>
      <x:c r="E23" s="38" t="str">
        <x:v>Abraz. Rm8+M10-100 (3 1/2")</x:v>
      </x:c>
      <x:c r="F23" s="38" t="str">
        <x:v>ABRAZ. RM8+M10-100 (3 1/2")</x:v>
      </x:c>
      <x:c r="G23" s="38" t="str">
        <x:v>15580100</x:v>
      </x:c>
      <x:c r="H23" s="38" t="str">
        <x:v>Comercial Santana Alemán y González, S.L. (Grupo SAG)</x:v>
      </x:c>
      <x:c r="I23" s="38" t="str">
        <x:v>Factura FM/6785</x:v>
      </x:c>
      <x:c r="J23" s="115" t="str">
        <x:v>30/04/2026</x:v>
      </x:c>
      <x:c r="K23" s="38" t="str">
        <x:v>Albarán NT/26.001.179</x:v>
      </x:c>
      <x:c r="L23" s="38" t="n">
        <x:v>4</x:v>
      </x:c>
      <x:c r="M23" s="38" t="str">
        <x:v>Unidad</x:v>
      </x:c>
      <x:c r="N23" s="38" t="n">
        <x:v>1</x:v>
      </x:c>
      <x:c r="O23" s="38" t="str">
        <x:v>Unidad</x:v>
      </x:c>
      <x:c r="P23" s="99" t="n">
        <x:v>2.74</x:v>
      </x:c>
      <x:c r="Q23" s="114" t="n">
        <x:v>0.5</x:v>
      </x:c>
      <x:c r="R23" s="99" t="n">
        <x:v>5.48</x:v>
      </x:c>
      <x:c r="S23" s="99" t="n">
        <x:f>IFERROR(R23/L23,P23*(1-Q23))</x:f>
        <x:v>1.37</x:v>
      </x:c>
      <x:c r="T23" s="114" t="n">
        <x:v>0.07</x:v>
      </x:c>
      <x:c r="U23" s="99" t="n">
        <x:f>S23*(1+T23)</x:f>
        <x:v>1.4659000000000002</x:v>
      </x:c>
      <x:c r="V23" s="99" t="n">
        <x:f>S23</x:f>
        <x:v>1.37</x:v>
      </x:c>
      <x:c r="W23" s="99" t="n">
        <x:f>V23-S23</x:f>
        <x:v>0</x:v>
      </x:c>
      <x:c r="X23" s="114" t="n">
        <x:f>IFERROR(W23/V23,0)</x:f>
        <x:v>0</x:v>
      </x:c>
      <x:c r="Y23" s="38" t="str">
        <x:v>Por unidad</x:v>
      </x:c>
      <x:c r="Z23" s="38" t="str">
        <x:f>IF(Y23="Botella / 3 instalaciones","Precio botella / 3",IF(Y23="Por rollo o metros proporcionales","Si se pasa rollo: rollo completo. Si se pasan metros: proporcional",Y23))</x:f>
        <x:v>Por unidad</x:v>
      </x:c>
      <x:c r="AA23" s="38" t="n">
        <x:v>1</x:v>
      </x:c>
      <x:c r="AB23" s="38" t="str"/>
      <x:c r="AC23" s="38" t="str"/>
      <x:c r="AD23" s="116" t="str">
        <x:v>2026-06-30</x:v>
      </x:c>
      <x:c r="AE23" s="38" t="str">
        <x:v>Sí</x:v>
      </x:c>
      <x:c r="AF23" s="38" t="str">
        <x:v>Revisar categoría antes de usar en cálculo automático.</x:v>
      </x:c>
    </x:row>
    <x:row r="24">
      <x:c r="A24" s="38" t="str">
        <x:v>MAT-0023</x:v>
      </x:c>
      <x:c r="B24" s="38" t="str">
        <x:v>Sí</x:v>
      </x:c>
      <x:c r="C24" s="38" t="str">
        <x:v>Sin clasificar</x:v>
      </x:c>
      <x:c r="D24" s="38" t="str"/>
      <x:c r="E24" s="38" t="str">
        <x:v>Injerto De 90° 100/100 Mm</x:v>
      </x:c>
      <x:c r="F24" s="38" t="str">
        <x:v>INJERTO DE 90° 100/100 MM</x:v>
      </x:c>
      <x:c r="G24" s="38" t="str">
        <x:v>CG-INJ90-100100</x:v>
      </x:c>
      <x:c r="H24" s="38" t="str">
        <x:v>Comercial Santana Alemán y González, S.L. (Grupo SAG)</x:v>
      </x:c>
      <x:c r="I24" s="38" t="str">
        <x:v>Factura FM/6785</x:v>
      </x:c>
      <x:c r="J24" s="115" t="str">
        <x:v>30/04/2026</x:v>
      </x:c>
      <x:c r="K24" s="38" t="str">
        <x:v>Albarán NT/26.001.179</x:v>
      </x:c>
      <x:c r="L24" s="38" t="n">
        <x:v>2</x:v>
      </x:c>
      <x:c r="M24" s="38" t="str">
        <x:v>Unidad</x:v>
      </x:c>
      <x:c r="N24" s="38" t="n">
        <x:v>1</x:v>
      </x:c>
      <x:c r="O24" s="38" t="str">
        <x:v>Unidad</x:v>
      </x:c>
      <x:c r="P24" s="99" t="n">
        <x:v>4.51</x:v>
      </x:c>
      <x:c r="Q24" s="114" t="n">
        <x:v>0.5</x:v>
      </x:c>
      <x:c r="R24" s="99" t="n">
        <x:v>4.51</x:v>
      </x:c>
      <x:c r="S24" s="99" t="n">
        <x:f>IFERROR(R24/L24,P24*(1-Q24))</x:f>
        <x:v>2.255</x:v>
      </x:c>
      <x:c r="T24" s="114" t="n">
        <x:v>0.07</x:v>
      </x:c>
      <x:c r="U24" s="99" t="n">
        <x:f>S24*(1+T24)</x:f>
        <x:v>2.41285</x:v>
      </x:c>
      <x:c r="V24" s="99" t="n">
        <x:f>S24</x:f>
        <x:v>2.255</x:v>
      </x:c>
      <x:c r="W24" s="99" t="n">
        <x:f>V24-S24</x:f>
        <x:v>0</x:v>
      </x:c>
      <x:c r="X24" s="114" t="n">
        <x:f>IFERROR(W24/V24,0)</x:f>
        <x:v>0</x:v>
      </x:c>
      <x:c r="Y24" s="38" t="str">
        <x:v>Por unidad</x:v>
      </x:c>
      <x:c r="Z24" s="38" t="str">
        <x:f>IF(Y24="Botella / 3 instalaciones","Precio botella / 3",IF(Y24="Por rollo o metros proporcionales","Si se pasa rollo: rollo completo. Si se pasan metros: proporcional",Y24))</x:f>
        <x:v>Por unidad</x:v>
      </x:c>
      <x:c r="AA24" s="38" t="n">
        <x:v>1</x:v>
      </x:c>
      <x:c r="AB24" s="38" t="str"/>
      <x:c r="AC24" s="38" t="str"/>
      <x:c r="AD24" s="116" t="str">
        <x:v>2026-06-30</x:v>
      </x:c>
      <x:c r="AE24" s="38" t="str">
        <x:v>Sí</x:v>
      </x:c>
      <x:c r="AF24" s="38" t="str">
        <x:v>Revisar categoría antes de usar en cálculo automático.</x:v>
      </x:c>
    </x:row>
    <x:row r="25">
      <x:c r="A25" s="38" t="str">
        <x:v>MAT-0024</x:v>
      </x:c>
      <x:c r="B25" s="38" t="str">
        <x:v>Sí</x:v>
      </x:c>
      <x:c r="C25" s="38" t="str">
        <x:v>Conductos/Ventilación</x:v>
      </x:c>
      <x:c r="D25" s="38" t="str">
        <x:v>Conducto/accesorio</x:v>
      </x:c>
      <x:c r="E25" s="38" t="str">
        <x:v>Codo Galvanizado 90° 250 Mm</x:v>
      </x:c>
      <x:c r="F25" s="38" t="str">
        <x:v>CODO GALVANIZADO 90° 250 MM</x:v>
      </x:c>
      <x:c r="G25" s="38" t="str">
        <x:v>CG-COD90-250</x:v>
      </x:c>
      <x:c r="H25" s="38" t="str">
        <x:v>Comercial Santana Alemán y González, S.L. (Grupo SAG)</x:v>
      </x:c>
      <x:c r="I25" s="38" t="str">
        <x:v>Factura FM/6941</x:v>
      </x:c>
      <x:c r="J25" s="115" t="str">
        <x:v>31/05/2026</x:v>
      </x:c>
      <x:c r="K25" s="38" t="str">
        <x:v>Albarán NT/26.001.255</x:v>
      </x:c>
      <x:c r="L25" s="38" t="n">
        <x:v>1</x:v>
      </x:c>
      <x:c r="M25" s="38" t="str">
        <x:v>Unidad</x:v>
      </x:c>
      <x:c r="N25" s="38" t="n">
        <x:v>1</x:v>
      </x:c>
      <x:c r="O25" s="38" t="str">
        <x:v>Unidad</x:v>
      </x:c>
      <x:c r="P25" s="99" t="n">
        <x:v>38.5</x:v>
      </x:c>
      <x:c r="Q25" s="114" t="n">
        <x:v>0.5</x:v>
      </x:c>
      <x:c r="R25" s="99" t="n">
        <x:v>19.25</x:v>
      </x:c>
      <x:c r="S25" s="99" t="n">
        <x:f>IFERROR(R25/L25,P25*(1-Q25))</x:f>
        <x:v>19.25</x:v>
      </x:c>
      <x:c r="T25" s="114" t="n">
        <x:v>0.07</x:v>
      </x:c>
      <x:c r="U25" s="99" t="n">
        <x:f>S25*(1+T25)</x:f>
        <x:v>20.5975</x:v>
      </x:c>
      <x:c r="V25" s="99" t="n">
        <x:f>S25</x:f>
        <x:v>19.25</x:v>
      </x:c>
      <x:c r="W25" s="99" t="n">
        <x:f>V25-S25</x:f>
        <x:v>0</x:v>
      </x:c>
      <x:c r="X25" s="114" t="n">
        <x:f>IFERROR(W25/V25,0)</x:f>
        <x:v>0</x:v>
      </x:c>
      <x:c r="Y25" s="38" t="str">
        <x:v>Por unidad</x:v>
      </x:c>
      <x:c r="Z25" s="38" t="str">
        <x:f>IF(Y25="Botella / 3 instalaciones","Precio botella / 3",IF(Y25="Por rollo o metros proporcionales","Si se pasa rollo: rollo completo. Si se pasan metros: proporcional",Y25))</x:f>
        <x:v>Por unidad</x:v>
      </x:c>
      <x:c r="AA25" s="38" t="n">
        <x:v>1</x:v>
      </x:c>
      <x:c r="AB25" s="38" t="str"/>
      <x:c r="AC25" s="38" t="str"/>
      <x:c r="AD25" s="116" t="str">
        <x:v>2026-06-30</x:v>
      </x:c>
      <x:c r="AE25" s="38" t="str">
        <x:v>No</x:v>
      </x:c>
      <x:c r="AF25" s="38" t="str"/>
    </x:row>
    <x:row r="26">
      <x:c r="A26" s="38" t="str">
        <x:v>MAT-0025</x:v>
      </x:c>
      <x:c r="B26" s="38" t="str">
        <x:v>Sí</x:v>
      </x:c>
      <x:c r="C26" s="38" t="str">
        <x:v>Sin clasificar</x:v>
      </x:c>
      <x:c r="D26" s="38" t="str"/>
      <x:c r="E26" s="38" t="str">
        <x:v>Corona De 250 Mm</x:v>
      </x:c>
      <x:c r="F26" s="38" t="str">
        <x:v>CORONA DE 250 MM</x:v>
      </x:c>
      <x:c r="G26" s="38" t="str">
        <x:v>CG-CRN-0250</x:v>
      </x:c>
      <x:c r="H26" s="38" t="str">
        <x:v>Comercial Santana Alemán y González, S.L. (Grupo SAG)</x:v>
      </x:c>
      <x:c r="I26" s="38" t="str">
        <x:v>Factura FM/6941</x:v>
      </x:c>
      <x:c r="J26" s="115" t="str">
        <x:v>31/05/2026</x:v>
      </x:c>
      <x:c r="K26" s="38" t="str">
        <x:v>Albarán NT/26.001.262</x:v>
      </x:c>
      <x:c r="L26" s="38" t="n">
        <x:v>3</x:v>
      </x:c>
      <x:c r="M26" s="38" t="str">
        <x:v>Unidad</x:v>
      </x:c>
      <x:c r="N26" s="38" t="n">
        <x:v>1</x:v>
      </x:c>
      <x:c r="O26" s="38" t="str">
        <x:v>Unidad</x:v>
      </x:c>
      <x:c r="P26" s="99" t="n">
        <x:v>7.01</x:v>
      </x:c>
      <x:c r="Q26" s="114" t="n">
        <x:v>0.5</x:v>
      </x:c>
      <x:c r="R26" s="99" t="n">
        <x:v>10.52</x:v>
      </x:c>
      <x:c r="S26" s="99" t="n">
        <x:f>IFERROR(R26/L26,P26*(1-Q26))</x:f>
        <x:v>3.5066666666666664</x:v>
      </x:c>
      <x:c r="T26" s="114" t="n">
        <x:v>0.07</x:v>
      </x:c>
      <x:c r="U26" s="99" t="n">
        <x:f>S26*(1+T26)</x:f>
        <x:v>3.752133333333333</x:v>
      </x:c>
      <x:c r="V26" s="99" t="n">
        <x:f>S26</x:f>
        <x:v>3.5066666666666664</x:v>
      </x:c>
      <x:c r="W26" s="99" t="n">
        <x:f>V26-S26</x:f>
        <x:v>0</x:v>
      </x:c>
      <x:c r="X26" s="114" t="n">
        <x:f>IFERROR(W26/V26,0)</x:f>
        <x:v>0</x:v>
      </x:c>
      <x:c r="Y26" s="38" t="str">
        <x:v>Por unidad</x:v>
      </x:c>
      <x:c r="Z26" s="38" t="str">
        <x:f>IF(Y26="Botella / 3 instalaciones","Precio botella / 3",IF(Y26="Por rollo o metros proporcionales","Si se pasa rollo: rollo completo. Si se pasan metros: proporcional",Y26))</x:f>
        <x:v>Por unidad</x:v>
      </x:c>
      <x:c r="AA26" s="38" t="n">
        <x:v>1</x:v>
      </x:c>
      <x:c r="AB26" s="38" t="str"/>
      <x:c r="AC26" s="38" t="str"/>
      <x:c r="AD26" s="116" t="str">
        <x:v>2026-06-30</x:v>
      </x:c>
      <x:c r="AE26" s="38" t="str">
        <x:v>Sí</x:v>
      </x:c>
      <x:c r="AF26" s="38" t="str">
        <x:v>Revisar categoría antes de usar en cálculo automático.</x:v>
      </x:c>
    </x:row>
    <x:row r="27">
      <x:c r="A27" s="38" t="str">
        <x:v>MAT-0026</x:v>
      </x:c>
      <x:c r="B27" s="38" t="str">
        <x:v>Sí</x:v>
      </x:c>
      <x:c r="C27" s="38" t="str">
        <x:v>Soportes y fijaciones</x:v>
      </x:c>
      <x:c r="D27" s="38" t="str">
        <x:v>Soportes/amortiguadores</x:v>
      </x:c>
      <x:c r="E27" s="38" t="str">
        <x:v>Juego Soporte Instalpack S-40 Amortiguador Suelo</x:v>
      </x:c>
      <x:c r="F27" s="38" t="str">
        <x:v>JUEGO SOPORTE INSTALPACK S-40 AMORTIGUADOR SUELO</x:v>
      </x:c>
      <x:c r="G27" s="38" t="str">
        <x:v>649017</x:v>
      </x:c>
      <x:c r="H27" s="38" t="str">
        <x:v>Comercial Santana Alemán y González, S.L. (Grupo SAG)</x:v>
      </x:c>
      <x:c r="I27" s="38" t="str">
        <x:v>Factura FM/6941</x:v>
      </x:c>
      <x:c r="J27" s="115" t="str">
        <x:v>31/05/2026</x:v>
      </x:c>
      <x:c r="K27" s="38" t="str">
        <x:v>Albarán NT/26.001.262</x:v>
      </x:c>
      <x:c r="L27" s="38" t="n">
        <x:v>1</x:v>
      </x:c>
      <x:c r="M27" s="38" t="str">
        <x:v>Unidad</x:v>
      </x:c>
      <x:c r="N27" s="38" t="n">
        <x:v>1</x:v>
      </x:c>
      <x:c r="O27" s="38" t="str">
        <x:v>Unidad</x:v>
      </x:c>
      <x:c r="P27" s="99" t="n">
        <x:v>3.9</x:v>
      </x:c>
      <x:c r="Q27" s="114" t="n">
        <x:v>0.4</x:v>
      </x:c>
      <x:c r="R27" s="99" t="n">
        <x:v>2.34</x:v>
      </x:c>
      <x:c r="S27" s="99" t="n">
        <x:f>IFERROR(R27/L27,P27*(1-Q27))</x:f>
        <x:v>2.34</x:v>
      </x:c>
      <x:c r="T27" s="114" t="n">
        <x:v>0.07</x:v>
      </x:c>
      <x:c r="U27" s="99" t="n">
        <x:f>S27*(1+T27)</x:f>
        <x:v>2.5038</x:v>
      </x:c>
      <x:c r="V27" s="99" t="n">
        <x:f>S27</x:f>
        <x:v>2.34</x:v>
      </x:c>
      <x:c r="W27" s="99" t="n">
        <x:f>V27-S27</x:f>
        <x:v>0</x:v>
      </x:c>
      <x:c r="X27" s="114" t="n">
        <x:f>IFERROR(W27/V27,0)</x:f>
        <x:v>0</x:v>
      </x:c>
      <x:c r="Y27" s="38" t="str">
        <x:v>Por unidad</x:v>
      </x:c>
      <x:c r="Z27" s="38" t="str">
        <x:f>IF(Y27="Botella / 3 instalaciones","Precio botella / 3",IF(Y27="Por rollo o metros proporcionales","Si se pasa rollo: rollo completo. Si se pasan metros: proporcional",Y27))</x:f>
        <x:v>Por unidad</x:v>
      </x:c>
      <x:c r="AA27" s="38" t="n">
        <x:v>1</x:v>
      </x:c>
      <x:c r="AB27" s="38" t="str">
        <x:v>Sánchez Arencibia, S.A.</x:v>
      </x:c>
      <x:c r="AC27" s="38" t="str">
        <x:v>Media-Baja</x:v>
      </x:c>
      <x:c r="AD27" s="116" t="str">
        <x:v>2026-06-30</x:v>
      </x:c>
      <x:c r="AE27" s="38" t="str">
        <x:v>No</x:v>
      </x:c>
      <x:c r="AF27" s="38" t="str">
        <x:v>Comparativa orientativa: revisar ficha/medida antes de decidir proveedor.</x:v>
      </x:c>
    </x:row>
    <x:row r="28">
      <x:c r="A28" s="38" t="str">
        <x:v>MAT-0027</x:v>
      </x:c>
      <x:c r="B28" s="38" t="str">
        <x:v>Sí</x:v>
      </x:c>
      <x:c r="C28" s="38" t="str">
        <x:v>Sin clasificar</x:v>
      </x:c>
      <x:c r="D28" s="38" t="str"/>
      <x:c r="E28" s="38" t="str">
        <x:v>Conjunto Tcl Wifi Elite Mod. S18F2S1</x:v>
      </x:c>
      <x:c r="F28" s="38" t="str">
        <x:v>CONJUNTO TCL WIFI ELITE MOD. S18F2S1</x:v>
      </x:c>
      <x:c r="G28" s="38" t="str">
        <x:v>S18F2S1</x:v>
      </x:c>
      <x:c r="H28" s="38" t="str">
        <x:v>Comercial Santana Alemán y González, S.L. (Grupo SAG)</x:v>
      </x:c>
      <x:c r="I28" s="38" t="str">
        <x:v>Factura FM/6941</x:v>
      </x:c>
      <x:c r="J28" s="115" t="str">
        <x:v>31/05/2026</x:v>
      </x:c>
      <x:c r="K28" s="38" t="str">
        <x:v>Albarán NT/26.001.424 (LA BARANDA)</x:v>
      </x:c>
      <x:c r="L28" s="38" t="n">
        <x:v>2</x:v>
      </x:c>
      <x:c r="M28" s="38" t="str">
        <x:v>Unidad</x:v>
      </x:c>
      <x:c r="N28" s="38" t="n">
        <x:v>1</x:v>
      </x:c>
      <x:c r="O28" s="38" t="str">
        <x:v>Unidad</x:v>
      </x:c>
      <x:c r="P28" s="99" t="n">
        <x:v>485</x:v>
      </x:c>
      <x:c r="Q28" s="114" t="n">
        <x:v>0</x:v>
      </x:c>
      <x:c r="R28" s="99" t="n">
        <x:v>970</x:v>
      </x:c>
      <x:c r="S28" s="99" t="n">
        <x:f>IFERROR(R28/L28,P28*(1-Q28))</x:f>
        <x:v>485</x:v>
      </x:c>
      <x:c r="T28" s="114" t="n">
        <x:v>0.07</x:v>
      </x:c>
      <x:c r="U28" s="99" t="n">
        <x:f>S28*(1+T28)</x:f>
        <x:v>518.95</x:v>
      </x:c>
      <x:c r="V28" s="99" t="n">
        <x:f>S28</x:f>
        <x:v>485</x:v>
      </x:c>
      <x:c r="W28" s="99" t="n">
        <x:f>V28-S28</x:f>
        <x:v>0</x:v>
      </x:c>
      <x:c r="X28" s="114" t="n">
        <x:f>IFERROR(W28/V28,0)</x:f>
        <x:v>0</x:v>
      </x:c>
      <x:c r="Y28" s="38" t="str">
        <x:v>Por unidad</x:v>
      </x:c>
      <x:c r="Z28" s="38" t="str">
        <x:f>IF(Y28="Botella / 3 instalaciones","Precio botella / 3",IF(Y28="Por rollo o metros proporcionales","Si se pasa rollo: rollo completo. Si se pasan metros: proporcional",Y28))</x:f>
        <x:v>Por unidad</x:v>
      </x:c>
      <x:c r="AA28" s="38" t="n">
        <x:v>1</x:v>
      </x:c>
      <x:c r="AB28" s="38" t="str"/>
      <x:c r="AC28" s="38" t="str"/>
      <x:c r="AD28" s="116" t="str">
        <x:v>2026-06-30</x:v>
      </x:c>
      <x:c r="AE28" s="38" t="str">
        <x:v>Sí</x:v>
      </x:c>
      <x:c r="AF28" s="38" t="str">
        <x:v>Revisar categoría antes de usar en cálculo automático.</x:v>
      </x:c>
    </x:row>
    <x:row r="29">
      <x:c r="A29" s="38" t="str">
        <x:v>MAT-0028</x:v>
      </x:c>
      <x:c r="B29" s="38" t="str">
        <x:v>Sí</x:v>
      </x:c>
      <x:c r="C29" s="38" t="str">
        <x:v>Tubería frigorífica</x:v>
      </x:c>
      <x:c r="D29" s="38" t="str">
        <x:v>Cobre frigorífico aislado</x:v>
      </x:c>
      <x:c r="E29" s="38" t="str">
        <x:v>Rollo Tuberia Cobre Preaislado Bitubo 1/4 X 3/8 20 M.</x:v>
      </x:c>
      <x:c r="F29" s="38" t="str">
        <x:v>ROLLO TUBERIA COBRE PREAISLADO BITUBO 1/4 X 3/8 20 M.</x:v>
      </x:c>
      <x:c r="G29" s="38" t="str">
        <x:v>4002053</x:v>
      </x:c>
      <x:c r="H29" s="38" t="str">
        <x:v>Comercial Santana Alemán y González, S.L. (Grupo SAG)</x:v>
      </x:c>
      <x:c r="I29" s="38" t="str">
        <x:v>Factura FM/6941</x:v>
      </x:c>
      <x:c r="J29" s="115" t="str">
        <x:v>31/05/2026</x:v>
      </x:c>
      <x:c r="K29" s="38" t="str">
        <x:v>Albarán NT/26.001.424 (LA BARANDA)</x:v>
      </x:c>
      <x:c r="L29" s="38" t="n">
        <x:v>1</x:v>
      </x:c>
      <x:c r="M29" s="38" t="str">
        <x:v>Rollo</x:v>
      </x:c>
      <x:c r="N29" s="38" t="n">
        <x:v>20</x:v>
      </x:c>
      <x:c r="O29" s="38" t="str">
        <x:v>Metro</x:v>
      </x:c>
      <x:c r="P29" s="99" t="n">
        <x:v>110</x:v>
      </x:c>
      <x:c r="Q29" s="114" t="n">
        <x:v>0</x:v>
      </x:c>
      <x:c r="R29" s="99" t="n">
        <x:v>110</x:v>
      </x:c>
      <x:c r="S29" s="99" t="n">
        <x:f>IFERROR(R29/L29,P29*(1-Q29))</x:f>
        <x:v>110</x:v>
      </x:c>
      <x:c r="T29" s="114" t="n">
        <x:v>0.07</x:v>
      </x:c>
      <x:c r="U29" s="99" t="n">
        <x:f>S29*(1+T29)</x:f>
        <x:v>117.7</x:v>
      </x:c>
      <x:c r="V29" s="99" t="n">
        <x:f>S29</x:f>
        <x:v>110</x:v>
      </x:c>
      <x:c r="W29" s="99" t="n">
        <x:f>V29-S29</x:f>
        <x:v>0</x:v>
      </x:c>
      <x:c r="X29" s="114" t="n">
        <x:f>IFERROR(W29/V29,0)</x:f>
        <x:v>0</x:v>
      </x:c>
      <x:c r="Y29" s="38" t="str">
        <x:v>Por rollo o metros proporcionales</x:v>
      </x:c>
      <x:c r="Z29" s="38" t="str">
        <x:f>IF(Y29="Botella / 3 instalaciones","Precio botella / 3",IF(Y29="Por rollo o metros proporcionales","Si se pasa rollo: rollo completo. Si se pasan metros: proporcional",Y29))</x:f>
        <x:v>Si se pasa rollo: rollo completo. Si se pasan metros: proporcional</x:v>
      </x:c>
      <x:c r="AA29" s="38" t="n">
        <x:v>20</x:v>
      </x:c>
      <x:c r="AB29" s="38" t="str">
        <x:v>Sánchez Arencibia, S.A.</x:v>
      </x:c>
      <x:c r="AC29" s="38" t="str">
        <x:v>Alta</x:v>
      </x:c>
      <x:c r="AD29" s="116" t="str">
        <x:v>2026-06-30</x:v>
      </x:c>
      <x:c r="AE29" s="38" t="str">
        <x:v>No</x:v>
      </x:c>
      <x:c r="AF29" s="38" t="str"/>
    </x:row>
    <x:row r="30">
      <x:c r="A30" s="38" t="str">
        <x:v>MAT-0029</x:v>
      </x:c>
      <x:c r="B30" s="38" t="str">
        <x:v>Sí</x:v>
      </x:c>
      <x:c r="C30" s="38" t="str">
        <x:v>Sin clasificar</x:v>
      </x:c>
      <x:c r="D30" s="38" t="str"/>
      <x:c r="E30" s="38" t="str">
        <x:v>Injerto De 90° 250/100 Mm</x:v>
      </x:c>
      <x:c r="F30" s="38" t="str">
        <x:v>INJERTO DE 90° 250/100 MM</x:v>
      </x:c>
      <x:c r="G30" s="38" t="str">
        <x:v>CG-INJ90-250100</x:v>
      </x:c>
      <x:c r="H30" s="38" t="str">
        <x:v>Comercial Santana Alemán y González, S.L. (Grupo SAG)</x:v>
      </x:c>
      <x:c r="I30" s="38" t="str">
        <x:v>Factura FM/6941</x:v>
      </x:c>
      <x:c r="J30" s="115" t="str">
        <x:v>31/05/2026</x:v>
      </x:c>
      <x:c r="K30" s="38" t="str">
        <x:v>Albarán NT/26.001.335 (TABACO BARATO)</x:v>
      </x:c>
      <x:c r="L30" s="38" t="n">
        <x:v>2</x:v>
      </x:c>
      <x:c r="M30" s="38" t="str">
        <x:v>Unidad</x:v>
      </x:c>
      <x:c r="N30" s="38" t="n">
        <x:v>1</x:v>
      </x:c>
      <x:c r="O30" s="38" t="str">
        <x:v>Unidad</x:v>
      </x:c>
      <x:c r="P30" s="99" t="n">
        <x:v>9.3</x:v>
      </x:c>
      <x:c r="Q30" s="114" t="n">
        <x:v>0</x:v>
      </x:c>
      <x:c r="R30" s="99" t="n">
        <x:v>18.6</x:v>
      </x:c>
      <x:c r="S30" s="99" t="n">
        <x:f>IFERROR(R30/L30,P30*(1-Q30))</x:f>
        <x:v>9.3</x:v>
      </x:c>
      <x:c r="T30" s="114" t="n">
        <x:v>0.07</x:v>
      </x:c>
      <x:c r="U30" s="99" t="n">
        <x:f>S30*(1+T30)</x:f>
        <x:v>9.951</x:v>
      </x:c>
      <x:c r="V30" s="99" t="n">
        <x:f>S30</x:f>
        <x:v>9.3</x:v>
      </x:c>
      <x:c r="W30" s="99" t="n">
        <x:f>V30-S30</x:f>
        <x:v>0</x:v>
      </x:c>
      <x:c r="X30" s="114" t="n">
        <x:f>IFERROR(W30/V30,0)</x:f>
        <x:v>0</x:v>
      </x:c>
      <x:c r="Y30" s="38" t="str">
        <x:v>Por unidad</x:v>
      </x:c>
      <x:c r="Z30" s="38" t="str">
        <x:f>IF(Y30="Botella / 3 instalaciones","Precio botella / 3",IF(Y30="Por rollo o metros proporcionales","Si se pasa rollo: rollo completo. Si se pasan metros: proporcional",Y30))</x:f>
        <x:v>Por unidad</x:v>
      </x:c>
      <x:c r="AA30" s="38" t="n">
        <x:v>1</x:v>
      </x:c>
      <x:c r="AB30" s="38" t="str"/>
      <x:c r="AC30" s="38" t="str"/>
      <x:c r="AD30" s="116" t="str">
        <x:v>2026-06-30</x:v>
      </x:c>
      <x:c r="AE30" s="38" t="str">
        <x:v>Sí</x:v>
      </x:c>
      <x:c r="AF30" s="38" t="str">
        <x:v>Revisar categoría antes de usar en cálculo automático.</x:v>
      </x:c>
    </x:row>
    <x:row r="31">
      <x:c r="A31" s="38" t="str">
        <x:v>MAT-0030</x:v>
      </x:c>
      <x:c r="B31" s="38" t="str">
        <x:v>Sí</x:v>
      </x:c>
      <x:c r="C31" s="38" t="str">
        <x:v>Sin clasificar</x:v>
      </x:c>
      <x:c r="D31" s="38" t="str"/>
      <x:c r="E31" s="38" t="str">
        <x:v>Injerto De 90° 200/100 Mm</x:v>
      </x:c>
      <x:c r="F31" s="38" t="str">
        <x:v>INJERTO DE 90° 200/100 MM</x:v>
      </x:c>
      <x:c r="G31" s="38" t="str">
        <x:v>CG-INJ90-200100</x:v>
      </x:c>
      <x:c r="H31" s="38" t="str">
        <x:v>Comercial Santana Alemán y González, S.L. (Grupo SAG)</x:v>
      </x:c>
      <x:c r="I31" s="38" t="str">
        <x:v>Factura FM/6941</x:v>
      </x:c>
      <x:c r="J31" s="115" t="str">
        <x:v>31/05/2026</x:v>
      </x:c>
      <x:c r="K31" s="38" t="str">
        <x:v>Albarán NT/26.001.335 (TABACO BARATO)</x:v>
      </x:c>
      <x:c r="L31" s="38" t="n">
        <x:v>2</x:v>
      </x:c>
      <x:c r="M31" s="38" t="str">
        <x:v>Unidad</x:v>
      </x:c>
      <x:c r="N31" s="38" t="n">
        <x:v>1</x:v>
      </x:c>
      <x:c r="O31" s="38" t="str">
        <x:v>Unidad</x:v>
      </x:c>
      <x:c r="P31" s="99" t="n">
        <x:v>4.52</x:v>
      </x:c>
      <x:c r="Q31" s="114" t="n">
        <x:v>0.5</x:v>
      </x:c>
      <x:c r="R31" s="99" t="n">
        <x:v>9.04</x:v>
      </x:c>
      <x:c r="S31" s="99" t="n">
        <x:f>IFERROR(R31/L31,P31*(1-Q31))</x:f>
        <x:v>4.52</x:v>
      </x:c>
      <x:c r="T31" s="114" t="n">
        <x:v>0.07</x:v>
      </x:c>
      <x:c r="U31" s="99" t="n">
        <x:f>S31*(1+T31)</x:f>
        <x:v>4.8364</x:v>
      </x:c>
      <x:c r="V31" s="99" t="n">
        <x:f>S31</x:f>
        <x:v>4.52</x:v>
      </x:c>
      <x:c r="W31" s="99" t="n">
        <x:f>V31-S31</x:f>
        <x:v>0</x:v>
      </x:c>
      <x:c r="X31" s="114" t="n">
        <x:f>IFERROR(W31/V31,0)</x:f>
        <x:v>0</x:v>
      </x:c>
      <x:c r="Y31" s="38" t="str">
        <x:v>Por unidad</x:v>
      </x:c>
      <x:c r="Z31" s="38" t="str">
        <x:f>IF(Y31="Botella / 3 instalaciones","Precio botella / 3",IF(Y31="Por rollo o metros proporcionales","Si se pasa rollo: rollo completo. Si se pasan metros: proporcional",Y31))</x:f>
        <x:v>Por unidad</x:v>
      </x:c>
      <x:c r="AA31" s="38" t="n">
        <x:v>1</x:v>
      </x:c>
      <x:c r="AB31" s="38" t="str"/>
      <x:c r="AC31" s="38" t="str"/>
      <x:c r="AD31" s="116" t="str">
        <x:v>2026-06-30</x:v>
      </x:c>
      <x:c r="AE31" s="38" t="str">
        <x:v>Sí</x:v>
      </x:c>
      <x:c r="AF31" s="38" t="str">
        <x:v>Revisar categoría antes de usar en cálculo automático.</x:v>
      </x:c>
    </x:row>
    <x:row r="32">
      <x:c r="A32" s="38" t="str">
        <x:v>MAT-0031</x:v>
      </x:c>
      <x:c r="B32" s="38" t="str">
        <x:v>Sí</x:v>
      </x:c>
      <x:c r="C32" s="38" t="str">
        <x:v>Sin clasificar</x:v>
      </x:c>
      <x:c r="D32" s="38" t="str"/>
      <x:c r="E32" s="38" t="str">
        <x:v>Corte Flauta De 250 Mm</x:v>
      </x:c>
      <x:c r="F32" s="38" t="str">
        <x:v>CORTE FLAUTA DE 250 MM</x:v>
      </x:c>
      <x:c r="G32" s="38" t="str">
        <x:v>CG-CF-00250</x:v>
      </x:c>
      <x:c r="H32" s="38" t="str">
        <x:v>Comercial Santana Alemán y González, S.L. (Grupo SAG)</x:v>
      </x:c>
      <x:c r="I32" s="38" t="str">
        <x:v>Factura FM/6941</x:v>
      </x:c>
      <x:c r="J32" s="115" t="str">
        <x:v>31/05/2026</x:v>
      </x:c>
      <x:c r="K32" s="38" t="str">
        <x:v>Albarán NT/26.001.335 (TABACO BARATO)</x:v>
      </x:c>
      <x:c r="L32" s="38" t="n">
        <x:v>1</x:v>
      </x:c>
      <x:c r="M32" s="38" t="str">
        <x:v>Unidad</x:v>
      </x:c>
      <x:c r="N32" s="38" t="n">
        <x:v>1</x:v>
      </x:c>
      <x:c r="O32" s="38" t="str">
        <x:v>Unidad</x:v>
      </x:c>
      <x:c r="P32" s="99" t="n">
        <x:v>24.27</x:v>
      </x:c>
      <x:c r="Q32" s="114" t="n">
        <x:v>0.5</x:v>
      </x:c>
      <x:c r="R32" s="99" t="n">
        <x:v>12.14</x:v>
      </x:c>
      <x:c r="S32" s="99" t="n">
        <x:f>IFERROR(R32/L32,P32*(1-Q32))</x:f>
        <x:v>12.14</x:v>
      </x:c>
      <x:c r="T32" s="114" t="n">
        <x:v>0.07</x:v>
      </x:c>
      <x:c r="U32" s="99" t="n">
        <x:f>S32*(1+T32)</x:f>
        <x:v>12.9898</x:v>
      </x:c>
      <x:c r="V32" s="99" t="n">
        <x:f>S32</x:f>
        <x:v>12.14</x:v>
      </x:c>
      <x:c r="W32" s="99" t="n">
        <x:f>V32-S32</x:f>
        <x:v>0</x:v>
      </x:c>
      <x:c r="X32" s="114" t="n">
        <x:f>IFERROR(W32/V32,0)</x:f>
        <x:v>0</x:v>
      </x:c>
      <x:c r="Y32" s="38" t="str">
        <x:v>Por unidad</x:v>
      </x:c>
      <x:c r="Z32" s="38" t="str">
        <x:f>IF(Y32="Botella / 3 instalaciones","Precio botella / 3",IF(Y32="Por rollo o metros proporcionales","Si se pasa rollo: rollo completo. Si se pasan metros: proporcional",Y32))</x:f>
        <x:v>Por unidad</x:v>
      </x:c>
      <x:c r="AA32" s="38" t="n">
        <x:v>1</x:v>
      </x:c>
      <x:c r="AB32" s="38" t="str"/>
      <x:c r="AC32" s="38" t="str"/>
      <x:c r="AD32" s="116" t="str">
        <x:v>2026-06-30</x:v>
      </x:c>
      <x:c r="AE32" s="38" t="str">
        <x:v>Sí</x:v>
      </x:c>
      <x:c r="AF32" s="38" t="str">
        <x:v>Revisar categoría antes de usar en cálculo automático.</x:v>
      </x:c>
    </x:row>
    <x:row r="33">
      <x:c r="A33" s="38" t="str">
        <x:v>MAT-0032</x:v>
      </x:c>
      <x:c r="B33" s="38" t="str">
        <x:v>Sí</x:v>
      </x:c>
      <x:c r="C33" s="38" t="str">
        <x:v>Sin clasificar</x:v>
      </x:c>
      <x:c r="D33" s="38" t="str"/>
      <x:c r="E33" s="38" t="str">
        <x:v>Tapa Aspiracion 9/9 (460*430 Mm)</x:v>
      </x:c>
      <x:c r="F33" s="38" t="str">
        <x:v>TAPA ASPIRACION 9/9 (460*430 MM)</x:v>
      </x:c>
      <x:c r="G33" s="38" t="str">
        <x:v>TAPA-9/9</x:v>
      </x:c>
      <x:c r="H33" s="38" t="str">
        <x:v>Comercial Santana Alemán y González, S.L. (Grupo SAG)</x:v>
      </x:c>
      <x:c r="I33" s="38" t="str">
        <x:v>Factura FM/6941</x:v>
      </x:c>
      <x:c r="J33" s="115" t="str">
        <x:v>31/05/2026</x:v>
      </x:c>
      <x:c r="K33" s="38" t="str">
        <x:v>Albarán NT/26.001.278 (Devolución)</x:v>
      </x:c>
      <x:c r="L33" s="38" t="n">
        <x:v>1</x:v>
      </x:c>
      <x:c r="M33" s="38" t="str">
        <x:v>Unidad</x:v>
      </x:c>
      <x:c r="N33" s="38" t="n">
        <x:v>1</x:v>
      </x:c>
      <x:c r="O33" s="38" t="str">
        <x:v>Unidad</x:v>
      </x:c>
      <x:c r="P33" s="99" t="n">
        <x:v>45.1</x:v>
      </x:c>
      <x:c r="Q33" s="114" t="n">
        <x:v>0.5</x:v>
      </x:c>
      <x:c r="R33" s="99" t="n">
        <x:v>22.55</x:v>
      </x:c>
      <x:c r="S33" s="99" t="n">
        <x:f>IFERROR(R33/L33,P33*(1-Q33))</x:f>
        <x:v>22.55</x:v>
      </x:c>
      <x:c r="T33" s="114" t="n">
        <x:v>0.07</x:v>
      </x:c>
      <x:c r="U33" s="99" t="n">
        <x:f>S33*(1+T33)</x:f>
        <x:v>24.128500000000003</x:v>
      </x:c>
      <x:c r="V33" s="99" t="n">
        <x:f>S33</x:f>
        <x:v>22.55</x:v>
      </x:c>
      <x:c r="W33" s="99" t="n">
        <x:f>V33-S33</x:f>
        <x:v>0</x:v>
      </x:c>
      <x:c r="X33" s="114" t="n">
        <x:f>IFERROR(W33/V33,0)</x:f>
        <x:v>0</x:v>
      </x:c>
      <x:c r="Y33" s="38" t="str">
        <x:v>Por unidad</x:v>
      </x:c>
      <x:c r="Z33" s="38" t="str">
        <x:f>IF(Y33="Botella / 3 instalaciones","Precio botella / 3",IF(Y33="Por rollo o metros proporcionales","Si se pasa rollo: rollo completo. Si se pasan metros: proporcional",Y33))</x:f>
        <x:v>Por unidad</x:v>
      </x:c>
      <x:c r="AA33" s="38" t="n">
        <x:v>1</x:v>
      </x:c>
      <x:c r="AB33" s="38" t="str"/>
      <x:c r="AC33" s="38" t="str"/>
      <x:c r="AD33" s="116" t="str">
        <x:v>2026-06-30</x:v>
      </x:c>
      <x:c r="AE33" s="38" t="str">
        <x:v>Sí</x:v>
      </x:c>
      <x:c r="AF33" s="38" t="str">
        <x:v>Revisar categoría antes de usar en cálculo automático.</x:v>
      </x:c>
    </x:row>
    <x:row r="34">
      <x:c r="A34" s="38" t="str">
        <x:v>MAT-0033</x:v>
      </x:c>
      <x:c r="B34" s="38" t="str">
        <x:v>Sí</x:v>
      </x:c>
      <x:c r="C34" s="38" t="str">
        <x:v>Conductos/Ventilación</x:v>
      </x:c>
      <x:c r="D34" s="38" t="str">
        <x:v>Conducto/accesorio</x:v>
      </x:c>
      <x:c r="E34" s="38" t="str">
        <x:v>Rejilla De Lamas Fijas A 45 Rrf 500*100 (Perforada)</x:v>
      </x:c>
      <x:c r="F34" s="38" t="str">
        <x:v>REJILLA DE LAMAS FIJAS A 45 RRF 500*100 (PERFORADA)</x:v>
      </x:c>
      <x:c r="G34" s="38" t="str">
        <x:v>DF-RRF-500100</x:v>
      </x:c>
      <x:c r="H34" s="38" t="str">
        <x:v>Comercial Santana Alemán y González, S.L. (Grupo SAG)</x:v>
      </x:c>
      <x:c r="I34" s="38" t="str">
        <x:v>Factura FM/6941</x:v>
      </x:c>
      <x:c r="J34" s="115" t="str">
        <x:v>31/05/2026</x:v>
      </x:c>
      <x:c r="K34" s="38" t="str">
        <x:v>Albarán NT/26.001.278 (Devolución)</x:v>
      </x:c>
      <x:c r="L34" s="38" t="n">
        <x:v>1</x:v>
      </x:c>
      <x:c r="M34" s="38" t="str">
        <x:v>Unidad</x:v>
      </x:c>
      <x:c r="N34" s="38" t="n">
        <x:v>1</x:v>
      </x:c>
      <x:c r="O34" s="38" t="str">
        <x:v>Unidad</x:v>
      </x:c>
      <x:c r="P34" s="99" t="n">
        <x:v>21.26</x:v>
      </x:c>
      <x:c r="Q34" s="114" t="n">
        <x:v>0.4</x:v>
      </x:c>
      <x:c r="R34" s="99" t="n">
        <x:v>12.76</x:v>
      </x:c>
      <x:c r="S34" s="99" t="n">
        <x:f>IFERROR(R34/L34,P34*(1-Q34))</x:f>
        <x:v>12.76</x:v>
      </x:c>
      <x:c r="T34" s="114" t="n">
        <x:v>0.07</x:v>
      </x:c>
      <x:c r="U34" s="99" t="n">
        <x:f>S34*(1+T34)</x:f>
        <x:v>13.6532</x:v>
      </x:c>
      <x:c r="V34" s="99" t="n">
        <x:f>S34</x:f>
        <x:v>12.76</x:v>
      </x:c>
      <x:c r="W34" s="99" t="n">
        <x:f>V34-S34</x:f>
        <x:v>0</x:v>
      </x:c>
      <x:c r="X34" s="114" t="n">
        <x:f>IFERROR(W34/V34,0)</x:f>
        <x:v>0</x:v>
      </x:c>
      <x:c r="Y34" s="38" t="str">
        <x:v>Por unidad</x:v>
      </x:c>
      <x:c r="Z34" s="38" t="str">
        <x:f>IF(Y34="Botella / 3 instalaciones","Precio botella / 3",IF(Y34="Por rollo o metros proporcionales","Si se pasa rollo: rollo completo. Si se pasan metros: proporcional",Y34))</x:f>
        <x:v>Por unidad</x:v>
      </x:c>
      <x:c r="AA34" s="38" t="n">
        <x:v>1</x:v>
      </x:c>
      <x:c r="AB34" s="38" t="str"/>
      <x:c r="AC34" s="38" t="str"/>
      <x:c r="AD34" s="116" t="str">
        <x:v>2026-06-30</x:v>
      </x:c>
      <x:c r="AE34" s="38" t="str">
        <x:v>No</x:v>
      </x:c>
      <x:c r="AF34" s="38" t="str"/>
    </x:row>
    <x:row r="35">
      <x:c r="A35" s="38" t="str">
        <x:v>MAT-0034</x:v>
      </x:c>
      <x:c r="B35" s="38" t="str">
        <x:v>Sí</x:v>
      </x:c>
      <x:c r="C35" s="38" t="str">
        <x:v>Conductos/Ventilación</x:v>
      </x:c>
      <x:c r="D35" s="38" t="str">
        <x:v>Conducto/accesorio</x:v>
      </x:c>
      <x:c r="E35" s="38" t="str">
        <x:v>Regulador De Rejilla Rr 500*100 Mm</x:v>
      </x:c>
      <x:c r="F35" s="38" t="str">
        <x:v>REGULADOR DE REJILLA RR 500*100 MM</x:v>
      </x:c>
      <x:c r="G35" s="38" t="str">
        <x:v>DF-RR-500100</x:v>
      </x:c>
      <x:c r="H35" s="38" t="str">
        <x:v>Comercial Santana Alemán y González, S.L. (Grupo SAG)</x:v>
      </x:c>
      <x:c r="I35" s="38" t="str">
        <x:v>Factura FM/6941</x:v>
      </x:c>
      <x:c r="J35" s="115" t="str">
        <x:v>31/05/2026</x:v>
      </x:c>
      <x:c r="K35" s="38" t="str">
        <x:v>Albarán NT/26.001.278 (Devolución)</x:v>
      </x:c>
      <x:c r="L35" s="38" t="n">
        <x:v>1</x:v>
      </x:c>
      <x:c r="M35" s="38" t="str">
        <x:v>Unidad</x:v>
      </x:c>
      <x:c r="N35" s="38" t="n">
        <x:v>1</x:v>
      </x:c>
      <x:c r="O35" s="38" t="str">
        <x:v>Unidad</x:v>
      </x:c>
      <x:c r="P35" s="99" t="n">
        <x:v>23.96</x:v>
      </x:c>
      <x:c r="Q35" s="114" t="n">
        <x:v>0.4</x:v>
      </x:c>
      <x:c r="R35" s="99" t="n">
        <x:v>14.38</x:v>
      </x:c>
      <x:c r="S35" s="99" t="n">
        <x:f>IFERROR(R35/L35,P35*(1-Q35))</x:f>
        <x:v>14.38</x:v>
      </x:c>
      <x:c r="T35" s="114" t="n">
        <x:v>0.07</x:v>
      </x:c>
      <x:c r="U35" s="99" t="n">
        <x:f>S35*(1+T35)</x:f>
        <x:v>15.386600000000001</x:v>
      </x:c>
      <x:c r="V35" s="99" t="n">
        <x:f>S35</x:f>
        <x:v>14.38</x:v>
      </x:c>
      <x:c r="W35" s="99" t="n">
        <x:f>V35-S35</x:f>
        <x:v>0</x:v>
      </x:c>
      <x:c r="X35" s="114" t="n">
        <x:f>IFERROR(W35/V35,0)</x:f>
        <x:v>0</x:v>
      </x:c>
      <x:c r="Y35" s="38" t="str">
        <x:v>Por unidad</x:v>
      </x:c>
      <x:c r="Z35" s="38" t="str">
        <x:f>IF(Y35="Botella / 3 instalaciones","Precio botella / 3",IF(Y35="Por rollo o metros proporcionales","Si se pasa rollo: rollo completo. Si se pasan metros: proporcional",Y35))</x:f>
        <x:v>Por unidad</x:v>
      </x:c>
      <x:c r="AA35" s="38" t="n">
        <x:v>1</x:v>
      </x:c>
      <x:c r="AB35" s="38" t="str"/>
      <x:c r="AC35" s="38" t="str"/>
      <x:c r="AD35" s="116" t="str">
        <x:v>2026-06-30</x:v>
      </x:c>
      <x:c r="AE35" s="38" t="str">
        <x:v>No</x:v>
      </x:c>
      <x:c r="AF35" s="38" t="str"/>
    </x:row>
    <x:row r="36">
      <x:c r="A36" s="38" t="str">
        <x:v>MAT-0035</x:v>
      </x:c>
      <x:c r="B36" s="38" t="str">
        <x:v>Sí</x:v>
      </x:c>
      <x:c r="C36" s="38" t="str">
        <x:v>Sin clasificar</x:v>
      </x:c>
      <x:c r="D36" s="38" t="str"/>
      <x:c r="E36" s="38" t="str">
        <x:v>Pico Flauta Cadtm-9/9 300*260 Mm</x:v>
      </x:c>
      <x:c r="F36" s="38" t="str">
        <x:v>PICO FLAUTA CADTM-9/9 300*260 MM</x:v>
      </x:c>
      <x:c r="G36" s="38" t="str">
        <x:v>CG-PF-CADTM9/9</x:v>
      </x:c>
      <x:c r="H36" s="38" t="str">
        <x:v>Comercial Santana Alemán y González, S.L. (Grupo SAG)</x:v>
      </x:c>
      <x:c r="I36" s="38" t="str">
        <x:v>Factura FM/6941</x:v>
      </x:c>
      <x:c r="J36" s="115" t="str">
        <x:v>31/05/2026</x:v>
      </x:c>
      <x:c r="K36" s="38" t="str">
        <x:v>Albarán NT/26.001.278 (Devolución)</x:v>
      </x:c>
      <x:c r="L36" s="38" t="n">
        <x:v>-1</x:v>
      </x:c>
      <x:c r="M36" s="38" t="str">
        <x:v>Unidad</x:v>
      </x:c>
      <x:c r="N36" s="38" t="n">
        <x:v>1</x:v>
      </x:c>
      <x:c r="O36" s="38" t="str">
        <x:v>Unidad</x:v>
      </x:c>
      <x:c r="P36" s="99" t="n">
        <x:v>67.6</x:v>
      </x:c>
      <x:c r="Q36" s="114" t="n">
        <x:v>0.5</x:v>
      </x:c>
      <x:c r="R36" s="99" t="n">
        <x:v>-33.8</x:v>
      </x:c>
      <x:c r="S36" s="99" t="n">
        <x:f>IFERROR(R36/L36,P36*(1-Q36))</x:f>
        <x:v>33.8</x:v>
      </x:c>
      <x:c r="T36" s="114" t="n">
        <x:v>0.07</x:v>
      </x:c>
      <x:c r="U36" s="99" t="n">
        <x:f>S36*(1+T36)</x:f>
        <x:v>36.166</x:v>
      </x:c>
      <x:c r="V36" s="99" t="n">
        <x:f>S36</x:f>
        <x:v>33.8</x:v>
      </x:c>
      <x:c r="W36" s="99" t="n">
        <x:f>V36-S36</x:f>
        <x:v>0</x:v>
      </x:c>
      <x:c r="X36" s="114" t="n">
        <x:f>IFERROR(W36/V36,0)</x:f>
        <x:v>0</x:v>
      </x:c>
      <x:c r="Y36" s="38" t="str">
        <x:v>Por unidad</x:v>
      </x:c>
      <x:c r="Z36" s="38" t="str">
        <x:f>IF(Y36="Botella / 3 instalaciones","Precio botella / 3",IF(Y36="Por rollo o metros proporcionales","Si se pasa rollo: rollo completo. Si se pasan metros: proporcional",Y36))</x:f>
        <x:v>Por unidad</x:v>
      </x:c>
      <x:c r="AA36" s="38" t="n">
        <x:v>1</x:v>
      </x:c>
      <x:c r="AB36" s="38" t="str"/>
      <x:c r="AC36" s="38" t="str"/>
      <x:c r="AD36" s="116" t="str">
        <x:v>2026-06-30</x:v>
      </x:c>
      <x:c r="AE36" s="38" t="str">
        <x:v>Sí</x:v>
      </x:c>
      <x:c r="AF36" s="38" t="str">
        <x:v>Revisar categoría antes de usar en cálculo automático.</x:v>
      </x:c>
    </x:row>
    <x:row r="37">
      <x:c r="A37" s="38" t="str">
        <x:v>MAT-0036</x:v>
      </x:c>
      <x:c r="B37" s="38" t="str">
        <x:v>Sí</x:v>
      </x:c>
      <x:c r="C37" s="38" t="str">
        <x:v>Conductos/Ventilación</x:v>
      </x:c>
      <x:c r="D37" s="38" t="str">
        <x:v>Conducto/accesorio</x:v>
      </x:c>
      <x:c r="E37" s="38" t="str">
        <x:v>Manguito Galvanizado De 250 Mm</x:v>
      </x:c>
      <x:c r="F37" s="38" t="str">
        <x:v>MANGUITO GALVANIZADO DE 250 MM</x:v>
      </x:c>
      <x:c r="G37" s="38" t="str">
        <x:v>CG-MAN-250</x:v>
      </x:c>
      <x:c r="H37" s="38" t="str">
        <x:v>Comercial Santana Alemán y González, S.L. (Grupo SAG)</x:v>
      </x:c>
      <x:c r="I37" s="38" t="str">
        <x:v>Factura FM/6941</x:v>
      </x:c>
      <x:c r="J37" s="115" t="str">
        <x:v>31/05/2026</x:v>
      </x:c>
      <x:c r="K37" s="38" t="str">
        <x:v>Albarán NT/26.001.278 (Devolución)</x:v>
      </x:c>
      <x:c r="L37" s="38" t="n">
        <x:v>-1</x:v>
      </x:c>
      <x:c r="M37" s="38" t="str">
        <x:v>Unidad</x:v>
      </x:c>
      <x:c r="N37" s="38" t="n">
        <x:v>1</x:v>
      </x:c>
      <x:c r="O37" s="38" t="str">
        <x:v>Unidad</x:v>
      </x:c>
      <x:c r="P37" s="99" t="n">
        <x:v>7.745</x:v>
      </x:c>
      <x:c r="Q37" s="114" t="n">
        <x:v>0.5</x:v>
      </x:c>
      <x:c r="R37" s="99" t="n">
        <x:v>-3.87</x:v>
      </x:c>
      <x:c r="S37" s="99" t="n">
        <x:f>IFERROR(R37/L37,P37*(1-Q37))</x:f>
        <x:v>3.87</x:v>
      </x:c>
      <x:c r="T37" s="114" t="n">
        <x:v>0.07</x:v>
      </x:c>
      <x:c r="U37" s="99" t="n">
        <x:f>S37*(1+T37)</x:f>
        <x:v>4.1409</x:v>
      </x:c>
      <x:c r="V37" s="99" t="n">
        <x:f>S37</x:f>
        <x:v>3.87</x:v>
      </x:c>
      <x:c r="W37" s="99" t="n">
        <x:f>V37-S37</x:f>
        <x:v>0</x:v>
      </x:c>
      <x:c r="X37" s="114" t="n">
        <x:f>IFERROR(W37/V37,0)</x:f>
        <x:v>0</x:v>
      </x:c>
      <x:c r="Y37" s="38" t="str">
        <x:v>Por unidad</x:v>
      </x:c>
      <x:c r="Z37" s="38" t="str">
        <x:f>IF(Y37="Botella / 3 instalaciones","Precio botella / 3",IF(Y37="Por rollo o metros proporcionales","Si se pasa rollo: rollo completo. Si se pasan metros: proporcional",Y37))</x:f>
        <x:v>Por unidad</x:v>
      </x:c>
      <x:c r="AA37" s="38" t="n">
        <x:v>1</x:v>
      </x:c>
      <x:c r="AB37" s="38" t="str"/>
      <x:c r="AC37" s="38" t="str"/>
      <x:c r="AD37" s="116" t="str">
        <x:v>2026-06-30</x:v>
      </x:c>
      <x:c r="AE37" s="38" t="str">
        <x:v>No</x:v>
      </x:c>
      <x:c r="AF37" s="38" t="str"/>
    </x:row>
    <x:row r="38">
      <x:c r="A38" s="38" t="str">
        <x:v>MAT-0037</x:v>
      </x:c>
      <x:c r="B38" s="38" t="str">
        <x:v>Sí</x:v>
      </x:c>
      <x:c r="C38" s="38" t="str">
        <x:v>Conductos/Ventilación</x:v>
      </x:c>
      <x:c r="D38" s="38" t="str">
        <x:v>Conducto/accesorio</x:v>
      </x:c>
      <x:c r="E38" s="38" t="str">
        <x:v>Liston Metalico Para Rejilla Mod. Mr-100</x:v>
      </x:c>
      <x:c r="F38" s="38" t="str">
        <x:v>LISTON METALICO PARA REJILLA MOD. MR-100</x:v>
      </x:c>
      <x:c r="G38" s="38" t="str">
        <x:v>DF-MR-00100</x:v>
      </x:c>
      <x:c r="H38" s="38" t="str">
        <x:v>Comercial Santana Alemán y González, S.L. (Grupo SAG)</x:v>
      </x:c>
      <x:c r="I38" s="38" t="str">
        <x:v>Factura FM/6941</x:v>
      </x:c>
      <x:c r="J38" s="115" t="str">
        <x:v>31/05/2026</x:v>
      </x:c>
      <x:c r="K38" s="38" t="str">
        <x:v>Albarán NT/26.001.278 (Devolución)</x:v>
      </x:c>
      <x:c r="L38" s="38" t="n">
        <x:v>-8</x:v>
      </x:c>
      <x:c r="M38" s="38" t="str">
        <x:v>Unidad</x:v>
      </x:c>
      <x:c r="N38" s="38" t="n">
        <x:v>1</x:v>
      </x:c>
      <x:c r="O38" s="38" t="str">
        <x:v>Unidad</x:v>
      </x:c>
      <x:c r="P38" s="99" t="n">
        <x:v>0.88</x:v>
      </x:c>
      <x:c r="Q38" s="114" t="n">
        <x:v>0.4</x:v>
      </x:c>
      <x:c r="R38" s="99" t="n">
        <x:v>-4.22</x:v>
      </x:c>
      <x:c r="S38" s="99" t="n">
        <x:f>IFERROR(R38/L38,P38*(1-Q38))</x:f>
        <x:v>0.5275</x:v>
      </x:c>
      <x:c r="T38" s="114" t="n">
        <x:v>0.07</x:v>
      </x:c>
      <x:c r="U38" s="99" t="n">
        <x:f>S38*(1+T38)</x:f>
        <x:v>0.564425</x:v>
      </x:c>
      <x:c r="V38" s="99" t="n">
        <x:f>S38</x:f>
        <x:v>0.5275</x:v>
      </x:c>
      <x:c r="W38" s="99" t="n">
        <x:f>V38-S38</x:f>
        <x:v>0</x:v>
      </x:c>
      <x:c r="X38" s="114" t="n">
        <x:f>IFERROR(W38/V38,0)</x:f>
        <x:v>0</x:v>
      </x:c>
      <x:c r="Y38" s="38" t="str">
        <x:v>Por unidad</x:v>
      </x:c>
      <x:c r="Z38" s="38" t="str">
        <x:f>IF(Y38="Botella / 3 instalaciones","Precio botella / 3",IF(Y38="Por rollo o metros proporcionales","Si se pasa rollo: rollo completo. Si se pasan metros: proporcional",Y38))</x:f>
        <x:v>Por unidad</x:v>
      </x:c>
      <x:c r="AA38" s="38" t="n">
        <x:v>1</x:v>
      </x:c>
      <x:c r="AB38" s="38" t="str"/>
      <x:c r="AC38" s="38" t="str"/>
      <x:c r="AD38" s="116" t="str">
        <x:v>2026-06-30</x:v>
      </x:c>
      <x:c r="AE38" s="38" t="str">
        <x:v>No</x:v>
      </x:c>
      <x:c r="AF38" s="38" t="str"/>
    </x:row>
    <x:row r="39">
      <x:c r="A39" s="38" t="str">
        <x:v>MAT-0038</x:v>
      </x:c>
      <x:c r="B39" s="38" t="str">
        <x:v>Sí</x:v>
      </x:c>
      <x:c r="C39" s="38" t="str">
        <x:v>Sin clasificar</x:v>
      </x:c>
      <x:c r="D39" s="38" t="str"/>
      <x:c r="E39" s="38" t="str">
        <x:v>Abraz. Rm8+M10-250</x:v>
      </x:c>
      <x:c r="F39" s="38" t="str">
        <x:v>ABRAZ. RM8+M10-250</x:v>
      </x:c>
      <x:c r="G39" s="38" t="str">
        <x:v>15580250</x:v>
      </x:c>
      <x:c r="H39" s="38" t="str">
        <x:v>Comercial Santana Alemán y González, S.L. (Grupo SAG)</x:v>
      </x:c>
      <x:c r="I39" s="38" t="str">
        <x:v>Factura FM/6941</x:v>
      </x:c>
      <x:c r="J39" s="115" t="str">
        <x:v>31/05/2026</x:v>
      </x:c>
      <x:c r="K39" s="38" t="str">
        <x:v>Albarán NT/26.001.278 (Devolución)</x:v>
      </x:c>
      <x:c r="L39" s="38" t="n">
        <x:v>-4</x:v>
      </x:c>
      <x:c r="M39" s="38" t="str">
        <x:v>Unidad</x:v>
      </x:c>
      <x:c r="N39" s="38" t="n">
        <x:v>1</x:v>
      </x:c>
      <x:c r="O39" s="38" t="str">
        <x:v>Unidad</x:v>
      </x:c>
      <x:c r="P39" s="99" t="n">
        <x:v>3.77</x:v>
      </x:c>
      <x:c r="Q39" s="114" t="n">
        <x:v>0.55</x:v>
      </x:c>
      <x:c r="R39" s="99" t="n">
        <x:v>-6.79</x:v>
      </x:c>
      <x:c r="S39" s="99" t="n">
        <x:f>IFERROR(R39/L39,P39*(1-Q39))</x:f>
        <x:v>1.6975</x:v>
      </x:c>
      <x:c r="T39" s="114" t="n">
        <x:v>0.07</x:v>
      </x:c>
      <x:c r="U39" s="99" t="n">
        <x:f>S39*(1+T39)</x:f>
        <x:v>1.8163250000000002</x:v>
      </x:c>
      <x:c r="V39" s="99" t="n">
        <x:f>S39</x:f>
        <x:v>1.6975</x:v>
      </x:c>
      <x:c r="W39" s="99" t="n">
        <x:f>V39-S39</x:f>
        <x:v>0</x:v>
      </x:c>
      <x:c r="X39" s="114" t="n">
        <x:f>IFERROR(W39/V39,0)</x:f>
        <x:v>0</x:v>
      </x:c>
      <x:c r="Y39" s="38" t="str">
        <x:v>Por unidad</x:v>
      </x:c>
      <x:c r="Z39" s="38" t="str">
        <x:f>IF(Y39="Botella / 3 instalaciones","Precio botella / 3",IF(Y39="Por rollo o metros proporcionales","Si se pasa rollo: rollo completo. Si se pasan metros: proporcional",Y39))</x:f>
        <x:v>Por unidad</x:v>
      </x:c>
      <x:c r="AA39" s="38" t="n">
        <x:v>1</x:v>
      </x:c>
      <x:c r="AB39" s="38" t="str"/>
      <x:c r="AC39" s="38" t="str"/>
      <x:c r="AD39" s="116" t="str">
        <x:v>2026-06-30</x:v>
      </x:c>
      <x:c r="AE39" s="38" t="str">
        <x:v>Sí</x:v>
      </x:c>
      <x:c r="AF39" s="38" t="str">
        <x:v>Revisar categoría antes de usar en cálculo automático.</x:v>
      </x:c>
    </x:row>
    <x:row r="40">
      <x:c r="A40" s="38" t="str">
        <x:v>MAT-0039</x:v>
      </x:c>
      <x:c r="B40" s="38" t="str">
        <x:v>Sí</x:v>
      </x:c>
      <x:c r="C40" s="38" t="str">
        <x:v>Sin clasificar</x:v>
      </x:c>
      <x:c r="D40" s="38" t="str"/>
      <x:c r="E40" s="38" t="str">
        <x:v>Cajon Portafiltro De 300*300*300</x:v>
      </x:c>
      <x:c r="F40" s="38" t="str">
        <x:v>CAJON PORTAFILTRO DE 300*300*300</x:v>
      </x:c>
      <x:c r="G40" s="38" t="str">
        <x:v>FI-BO-300300300</x:v>
      </x:c>
      <x:c r="H40" s="38" t="str">
        <x:v>Comercial Santana Alemán y González, S.L. (Grupo SAG)</x:v>
      </x:c>
      <x:c r="I40" s="38" t="str">
        <x:v>Factura FM/6941</x:v>
      </x:c>
      <x:c r="J40" s="115" t="str">
        <x:v>31/05/2026</x:v>
      </x:c>
      <x:c r="K40" s="38" t="str">
        <x:v>Albarán NT/26.001.238 (TABACO BARATO)</x:v>
      </x:c>
      <x:c r="L40" s="38" t="n">
        <x:v>1</x:v>
      </x:c>
      <x:c r="M40" s="38" t="str">
        <x:v>Unidad</x:v>
      </x:c>
      <x:c r="N40" s="38" t="n">
        <x:v>1</x:v>
      </x:c>
      <x:c r="O40" s="38" t="str">
        <x:v>Unidad</x:v>
      </x:c>
      <x:c r="P40" s="99" t="n">
        <x:v>136</x:v>
      </x:c>
      <x:c r="Q40" s="114" t="n">
        <x:v>0.4</x:v>
      </x:c>
      <x:c r="R40" s="99" t="n">
        <x:v>81.6</x:v>
      </x:c>
      <x:c r="S40" s="99" t="n">
        <x:f>IFERROR(R40/L40,P40*(1-Q40))</x:f>
        <x:v>81.6</x:v>
      </x:c>
      <x:c r="T40" s="114" t="n">
        <x:v>0.07</x:v>
      </x:c>
      <x:c r="U40" s="99" t="n">
        <x:f>S40*(1+T40)</x:f>
        <x:v>87.312</x:v>
      </x:c>
      <x:c r="V40" s="99" t="n">
        <x:f>S40</x:f>
        <x:v>81.6</x:v>
      </x:c>
      <x:c r="W40" s="99" t="n">
        <x:f>V40-S40</x:f>
        <x:v>0</x:v>
      </x:c>
      <x:c r="X40" s="114" t="n">
        <x:f>IFERROR(W40/V40,0)</x:f>
        <x:v>0</x:v>
      </x:c>
      <x:c r="Y40" s="38" t="str">
        <x:v>Por unidad</x:v>
      </x:c>
      <x:c r="Z40" s="38" t="str">
        <x:f>IF(Y40="Botella / 3 instalaciones","Precio botella / 3",IF(Y40="Por rollo o metros proporcionales","Si se pasa rollo: rollo completo. Si se pasan metros: proporcional",Y40))</x:f>
        <x:v>Por unidad</x:v>
      </x:c>
      <x:c r="AA40" s="38" t="n">
        <x:v>1</x:v>
      </x:c>
      <x:c r="AB40" s="38" t="str"/>
      <x:c r="AC40" s="38" t="str"/>
      <x:c r="AD40" s="116" t="str">
        <x:v>2026-06-30</x:v>
      </x:c>
      <x:c r="AE40" s="38" t="str">
        <x:v>Sí</x:v>
      </x:c>
      <x:c r="AF40" s="38" t="str">
        <x:v>Revisar categoría antes de usar en cálculo automático.</x:v>
      </x:c>
    </x:row>
    <x:row r="41">
      <x:c r="A41" s="38" t="str">
        <x:v>MAT-0040</x:v>
      </x:c>
      <x:c r="B41" s="38" t="str">
        <x:v>Sí</x:v>
      </x:c>
      <x:c r="C41" s="38" t="str">
        <x:v>Sin clasificar</x:v>
      </x:c>
      <x:c r="D41" s="38" t="str"/>
      <x:c r="E41" s="38" t="str">
        <x:v>Filtro Marco Met. Miniplegado Servimini M-2R F6 290*290*48 Mm</x:v>
      </x:c>
      <x:c r="F41" s="38" t="str">
        <x:v>FILTRO MARCO MET. MINIPLEGADO SERVIMINI M-2R F6 290*290*48 MM</x:v>
      </x:c>
      <x:c r="G41" s="38" t="str">
        <x:v>FI-SVM292948-F6</x:v>
      </x:c>
      <x:c r="H41" s="38" t="str">
        <x:v>Comercial Santana Alemán y González, S.L. (Grupo SAG)</x:v>
      </x:c>
      <x:c r="I41" s="38" t="str">
        <x:v>Factura FM/6941</x:v>
      </x:c>
      <x:c r="J41" s="115" t="str">
        <x:v>31/05/2026</x:v>
      </x:c>
      <x:c r="K41" s="38" t="str">
        <x:v>Albarán NT/26.001.238 (TABACO BARATO)</x:v>
      </x:c>
      <x:c r="L41" s="38" t="n">
        <x:v>1</x:v>
      </x:c>
      <x:c r="M41" s="38" t="str">
        <x:v>Unidad</x:v>
      </x:c>
      <x:c r="N41" s="38" t="n">
        <x:v>1</x:v>
      </x:c>
      <x:c r="O41" s="38" t="str">
        <x:v>Unidad</x:v>
      </x:c>
      <x:c r="P41" s="99" t="n">
        <x:v>64.23</x:v>
      </x:c>
      <x:c r="Q41" s="114" t="n">
        <x:v>0.4</x:v>
      </x:c>
      <x:c r="R41" s="99" t="n">
        <x:v>38.54</x:v>
      </x:c>
      <x:c r="S41" s="99" t="n">
        <x:f>IFERROR(R41/L41,P41*(1-Q41))</x:f>
        <x:v>38.54</x:v>
      </x:c>
      <x:c r="T41" s="114" t="n">
        <x:v>0.07</x:v>
      </x:c>
      <x:c r="U41" s="99" t="n">
        <x:f>S41*(1+T41)</x:f>
        <x:v>41.2378</x:v>
      </x:c>
      <x:c r="V41" s="99" t="n">
        <x:f>S41</x:f>
        <x:v>38.54</x:v>
      </x:c>
      <x:c r="W41" s="99" t="n">
        <x:f>V41-S41</x:f>
        <x:v>0</x:v>
      </x:c>
      <x:c r="X41" s="114" t="n">
        <x:f>IFERROR(W41/V41,0)</x:f>
        <x:v>0</x:v>
      </x:c>
      <x:c r="Y41" s="38" t="str">
        <x:v>Por unidad</x:v>
      </x:c>
      <x:c r="Z41" s="38" t="str">
        <x:f>IF(Y41="Botella / 3 instalaciones","Precio botella / 3",IF(Y41="Por rollo o metros proporcionales","Si se pasa rollo: rollo completo. Si se pasan metros: proporcional",Y41))</x:f>
        <x:v>Por unidad</x:v>
      </x:c>
      <x:c r="AA41" s="38" t="n">
        <x:v>1</x:v>
      </x:c>
      <x:c r="AB41" s="38" t="str"/>
      <x:c r="AC41" s="38" t="str"/>
      <x:c r="AD41" s="116" t="str">
        <x:v>2026-06-30</x:v>
      </x:c>
      <x:c r="AE41" s="38" t="str">
        <x:v>Sí</x:v>
      </x:c>
      <x:c r="AF41" s="38" t="str">
        <x:v>Revisar categoría antes de usar en cálculo automático.</x:v>
      </x:c>
    </x:row>
    <x:row r="42">
      <x:c r="A42" s="38" t="str">
        <x:v>MAT-0041</x:v>
      </x:c>
      <x:c r="B42" s="38" t="str">
        <x:v>Sí</x:v>
      </x:c>
      <x:c r="C42" s="38" t="str">
        <x:v>Sin clasificar</x:v>
      </x:c>
      <x:c r="D42" s="38" t="str"/>
      <x:c r="E42" s="38" t="str">
        <x:v>Filtro Marco Met. Miniplegado Servimini M-2R F8 290*290*48 Mm</x:v>
      </x:c>
      <x:c r="F42" s="38" t="str">
        <x:v>FILTRO MARCO MET. MINIPLEGADO SERVIMINI M-2R F8 290*290*48 MM</x:v>
      </x:c>
      <x:c r="G42" s="38" t="str">
        <x:v>FI-SVM292948-F8</x:v>
      </x:c>
      <x:c r="H42" s="38" t="str">
        <x:v>Comercial Santana Alemán y González, S.L. (Grupo SAG)</x:v>
      </x:c>
      <x:c r="I42" s="38" t="str">
        <x:v>Factura FM/6941</x:v>
      </x:c>
      <x:c r="J42" s="115" t="str">
        <x:v>31/05/2026</x:v>
      </x:c>
      <x:c r="K42" s="38" t="str">
        <x:v>Albarán NT/26.001.238 (TABACO BARATO)</x:v>
      </x:c>
      <x:c r="L42" s="38" t="n">
        <x:v>1</x:v>
      </x:c>
      <x:c r="M42" s="38" t="str">
        <x:v>Unidad</x:v>
      </x:c>
      <x:c r="N42" s="38" t="n">
        <x:v>1</x:v>
      </x:c>
      <x:c r="O42" s="38" t="str">
        <x:v>Unidad</x:v>
      </x:c>
      <x:c r="P42" s="99" t="n">
        <x:v>64.23</x:v>
      </x:c>
      <x:c r="Q42" s="114" t="n">
        <x:v>0.4</x:v>
      </x:c>
      <x:c r="R42" s="99" t="n">
        <x:v>38.54</x:v>
      </x:c>
      <x:c r="S42" s="99" t="n">
        <x:f>IFERROR(R42/L42,P42*(1-Q42))</x:f>
        <x:v>38.54</x:v>
      </x:c>
      <x:c r="T42" s="114" t="n">
        <x:v>0.07</x:v>
      </x:c>
      <x:c r="U42" s="99" t="n">
        <x:f>S42*(1+T42)</x:f>
        <x:v>41.2378</x:v>
      </x:c>
      <x:c r="V42" s="99" t="n">
        <x:f>S42</x:f>
        <x:v>38.54</x:v>
      </x:c>
      <x:c r="W42" s="99" t="n">
        <x:f>V42-S42</x:f>
        <x:v>0</x:v>
      </x:c>
      <x:c r="X42" s="114" t="n">
        <x:f>IFERROR(W42/V42,0)</x:f>
        <x:v>0</x:v>
      </x:c>
      <x:c r="Y42" s="38" t="str">
        <x:v>Por unidad</x:v>
      </x:c>
      <x:c r="Z42" s="38" t="str">
        <x:f>IF(Y42="Botella / 3 instalaciones","Precio botella / 3",IF(Y42="Por rollo o metros proporcionales","Si se pasa rollo: rollo completo. Si se pasan metros: proporcional",Y42))</x:f>
        <x:v>Por unidad</x:v>
      </x:c>
      <x:c r="AA42" s="38" t="n">
        <x:v>1</x:v>
      </x:c>
      <x:c r="AB42" s="38" t="str"/>
      <x:c r="AC42" s="38" t="str"/>
      <x:c r="AD42" s="116" t="str">
        <x:v>2026-06-30</x:v>
      </x:c>
      <x:c r="AE42" s="38" t="str">
        <x:v>Sí</x:v>
      </x:c>
      <x:c r="AF42" s="38" t="str">
        <x:v>Revisar categoría antes de usar en cálculo automático.</x:v>
      </x:c>
    </x:row>
    <x:row r="43">
      <x:c r="A43" s="38" t="str">
        <x:v>MAT-0042</x:v>
      </x:c>
      <x:c r="B43" s="38" t="str">
        <x:v>Sí</x:v>
      </x:c>
      <x:c r="C43" s="38" t="str">
        <x:v>Conductos/Ventilación</x:v>
      </x:c>
      <x:c r="D43" s="38" t="str">
        <x:v>Conducto/accesorio</x:v>
      </x:c>
      <x:c r="E43" s="38" t="str">
        <x:v>Codo Galvanizado 90° 250 Mm</x:v>
      </x:c>
      <x:c r="F43" s="38" t="str">
        <x:v>CODO GALVANIZADO 90° 250 MM</x:v>
      </x:c>
      <x:c r="G43" s="38" t="str">
        <x:v>CG-COD90-250</x:v>
      </x:c>
      <x:c r="H43" s="38" t="str">
        <x:v>Comercial Santana Alemán y González, S.L. (Grupo SAG)</x:v>
      </x:c>
      <x:c r="I43" s="38" t="str">
        <x:v>Factura FM/6941</x:v>
      </x:c>
      <x:c r="J43" s="115" t="str">
        <x:v>31/05/2026</x:v>
      </x:c>
      <x:c r="K43" s="38" t="str">
        <x:v>Albarán NT/26.001.238 (TABACO BARATO)</x:v>
      </x:c>
      <x:c r="L43" s="38" t="n">
        <x:v>3</x:v>
      </x:c>
      <x:c r="M43" s="38" t="str">
        <x:v>Unidad</x:v>
      </x:c>
      <x:c r="N43" s="38" t="n">
        <x:v>1</x:v>
      </x:c>
      <x:c r="O43" s="38" t="str">
        <x:v>Unidad</x:v>
      </x:c>
      <x:c r="P43" s="99" t="n">
        <x:v>38.5</x:v>
      </x:c>
      <x:c r="Q43" s="114" t="n">
        <x:v>0.5</x:v>
      </x:c>
      <x:c r="R43" s="99" t="n">
        <x:v>57.75</x:v>
      </x:c>
      <x:c r="S43" s="99" t="n">
        <x:f>IFERROR(R43/L43,P43*(1-Q43))</x:f>
        <x:v>19.25</x:v>
      </x:c>
      <x:c r="T43" s="114" t="n">
        <x:v>0.07</x:v>
      </x:c>
      <x:c r="U43" s="99" t="n">
        <x:f>S43*(1+T43)</x:f>
        <x:v>20.5975</x:v>
      </x:c>
      <x:c r="V43" s="99" t="n">
        <x:f>S43</x:f>
        <x:v>19.25</x:v>
      </x:c>
      <x:c r="W43" s="99" t="n">
        <x:f>V43-S43</x:f>
        <x:v>0</x:v>
      </x:c>
      <x:c r="X43" s="114" t="n">
        <x:f>IFERROR(W43/V43,0)</x:f>
        <x:v>0</x:v>
      </x:c>
      <x:c r="Y43" s="38" t="str">
        <x:v>Por unidad</x:v>
      </x:c>
      <x:c r="Z43" s="38" t="str">
        <x:f>IF(Y43="Botella / 3 instalaciones","Precio botella / 3",IF(Y43="Por rollo o metros proporcionales","Si se pasa rollo: rollo completo. Si se pasan metros: proporcional",Y43))</x:f>
        <x:v>Por unidad</x:v>
      </x:c>
      <x:c r="AA43" s="38" t="n">
        <x:v>1</x:v>
      </x:c>
      <x:c r="AB43" s="38" t="str"/>
      <x:c r="AC43" s="38" t="str"/>
      <x:c r="AD43" s="116" t="str">
        <x:v>2026-06-30</x:v>
      </x:c>
      <x:c r="AE43" s="38" t="str">
        <x:v>No</x:v>
      </x:c>
      <x:c r="AF43" s="38" t="str"/>
    </x:row>
    <x:row r="44">
      <x:c r="A44" s="38" t="str">
        <x:v>MAT-0043</x:v>
      </x:c>
      <x:c r="B44" s="38" t="str">
        <x:v>Sí</x:v>
      </x:c>
      <x:c r="C44" s="38" t="str">
        <x:v>Conductos/Ventilación</x:v>
      </x:c>
      <x:c r="D44" s="38" t="str">
        <x:v>Conducto/accesorio</x:v>
      </x:c>
      <x:c r="E44" s="38" t="str">
        <x:v>Manguito Galvanizado De 250 Mm</x:v>
      </x:c>
      <x:c r="F44" s="38" t="str">
        <x:v>MANGUITO GALVANIZADO DE 250 MM</x:v>
      </x:c>
      <x:c r="G44" s="38" t="str">
        <x:v>CG-MAN-250</x:v>
      </x:c>
      <x:c r="H44" s="38" t="str">
        <x:v>Comercial Santana Alemán y González, S.L. (Grupo SAG)</x:v>
      </x:c>
      <x:c r="I44" s="38" t="str">
        <x:v>Factura FM/6941</x:v>
      </x:c>
      <x:c r="J44" s="115" t="str">
        <x:v>31/05/2026</x:v>
      </x:c>
      <x:c r="K44" s="38" t="str">
        <x:v>Albarán NT/26.001.238 (TABACO BARATO)</x:v>
      </x:c>
      <x:c r="L44" s="38" t="n">
        <x:v>4</x:v>
      </x:c>
      <x:c r="M44" s="38" t="str">
        <x:v>Unidad</x:v>
      </x:c>
      <x:c r="N44" s="38" t="n">
        <x:v>1</x:v>
      </x:c>
      <x:c r="O44" s="38" t="str">
        <x:v>Unidad</x:v>
      </x:c>
      <x:c r="P44" s="99" t="n">
        <x:v>7.745</x:v>
      </x:c>
      <x:c r="Q44" s="114" t="n">
        <x:v>0.5</x:v>
      </x:c>
      <x:c r="R44" s="99" t="n">
        <x:v>15.49</x:v>
      </x:c>
      <x:c r="S44" s="99" t="n">
        <x:f>IFERROR(R44/L44,P44*(1-Q44))</x:f>
        <x:v>3.8725</x:v>
      </x:c>
      <x:c r="T44" s="114" t="n">
        <x:v>0.07</x:v>
      </x:c>
      <x:c r="U44" s="99" t="n">
        <x:f>S44*(1+T44)</x:f>
        <x:v>4.143575</x:v>
      </x:c>
      <x:c r="V44" s="99" t="n">
        <x:f>S44</x:f>
        <x:v>3.8725</x:v>
      </x:c>
      <x:c r="W44" s="99" t="n">
        <x:f>V44-S44</x:f>
        <x:v>0</x:v>
      </x:c>
      <x:c r="X44" s="114" t="n">
        <x:f>IFERROR(W44/V44,0)</x:f>
        <x:v>0</x:v>
      </x:c>
      <x:c r="Y44" s="38" t="str">
        <x:v>Por unidad</x:v>
      </x:c>
      <x:c r="Z44" s="38" t="str">
        <x:f>IF(Y44="Botella / 3 instalaciones","Precio botella / 3",IF(Y44="Por rollo o metros proporcionales","Si se pasa rollo: rollo completo. Si se pasan metros: proporcional",Y44))</x:f>
        <x:v>Por unidad</x:v>
      </x:c>
      <x:c r="AA44" s="38" t="n">
        <x:v>1</x:v>
      </x:c>
      <x:c r="AB44" s="38" t="str"/>
      <x:c r="AC44" s="38" t="str"/>
      <x:c r="AD44" s="116" t="str">
        <x:v>2026-06-30</x:v>
      </x:c>
      <x:c r="AE44" s="38" t="str">
        <x:v>No</x:v>
      </x:c>
      <x:c r="AF44" s="38" t="str"/>
    </x:row>
    <x:row r="45">
      <x:c r="A45" s="38" t="str">
        <x:v>MAT-0044</x:v>
      </x:c>
      <x:c r="B45" s="38" t="str">
        <x:v>Sí</x:v>
      </x:c>
      <x:c r="C45" s="38" t="str">
        <x:v>Sin clasificar</x:v>
      </x:c>
      <x:c r="D45" s="38" t="str"/>
      <x:c r="E45" s="38" t="str">
        <x:v>Abraz. Rm8+M10-250</x:v>
      </x:c>
      <x:c r="F45" s="38" t="str">
        <x:v>ABRAZ. RM8+M10-250</x:v>
      </x:c>
      <x:c r="G45" s="38" t="str">
        <x:v>15580250</x:v>
      </x:c>
      <x:c r="H45" s="38" t="str">
        <x:v>Comercial Santana Alemán y González, S.L. (Grupo SAG)</x:v>
      </x:c>
      <x:c r="I45" s="38" t="str">
        <x:v>Factura FM/6941</x:v>
      </x:c>
      <x:c r="J45" s="115" t="str">
        <x:v>31/05/2026</x:v>
      </x:c>
      <x:c r="K45" s="38" t="str">
        <x:v>Albarán NT/26.001.238 (TABACO BARATO)</x:v>
      </x:c>
      <x:c r="L45" s="38" t="n">
        <x:v>6</x:v>
      </x:c>
      <x:c r="M45" s="38" t="str">
        <x:v>Unidad</x:v>
      </x:c>
      <x:c r="N45" s="38" t="n">
        <x:v>1</x:v>
      </x:c>
      <x:c r="O45" s="38" t="str">
        <x:v>Unidad</x:v>
      </x:c>
      <x:c r="P45" s="99" t="n">
        <x:v>3.77</x:v>
      </x:c>
      <x:c r="Q45" s="114" t="n">
        <x:v>0.55</x:v>
      </x:c>
      <x:c r="R45" s="99" t="n">
        <x:v>10.18</x:v>
      </x:c>
      <x:c r="S45" s="99" t="n">
        <x:f>IFERROR(R45/L45,P45*(1-Q45))</x:f>
        <x:v>1.6966666666666665</x:v>
      </x:c>
      <x:c r="T45" s="114" t="n">
        <x:v>0.07</x:v>
      </x:c>
      <x:c r="U45" s="99" t="n">
        <x:f>S45*(1+T45)</x:f>
        <x:v>1.8154333333333332</x:v>
      </x:c>
      <x:c r="V45" s="99" t="n">
        <x:f>S45</x:f>
        <x:v>1.6966666666666665</x:v>
      </x:c>
      <x:c r="W45" s="99" t="n">
        <x:f>V45-S45</x:f>
        <x:v>0</x:v>
      </x:c>
      <x:c r="X45" s="114" t="n">
        <x:f>IFERROR(W45/V45,0)</x:f>
        <x:v>0</x:v>
      </x:c>
      <x:c r="Y45" s="38" t="str">
        <x:v>Por unidad</x:v>
      </x:c>
      <x:c r="Z45" s="38" t="str">
        <x:f>IF(Y45="Botella / 3 instalaciones","Precio botella / 3",IF(Y45="Por rollo o metros proporcionales","Si se pasa rollo: rollo completo. Si se pasan metros: proporcional",Y45))</x:f>
        <x:v>Por unidad</x:v>
      </x:c>
      <x:c r="AA45" s="38" t="n">
        <x:v>1</x:v>
      </x:c>
      <x:c r="AB45" s="38" t="str"/>
      <x:c r="AC45" s="38" t="str"/>
      <x:c r="AD45" s="116" t="str">
        <x:v>2026-06-30</x:v>
      </x:c>
      <x:c r="AE45" s="38" t="str">
        <x:v>Sí</x:v>
      </x:c>
      <x:c r="AF45" s="38" t="str">
        <x:v>Revisar categoría antes de usar en cálculo automático.</x:v>
      </x:c>
    </x:row>
    <x:row r="46">
      <x:c r="A46" s="38" t="str">
        <x:v>MAT-0045</x:v>
      </x:c>
      <x:c r="B46" s="38" t="str">
        <x:v>Sí</x:v>
      </x:c>
      <x:c r="C46" s="38" t="str">
        <x:v>Conductos/Ventilación</x:v>
      </x:c>
      <x:c r="D46" s="38" t="str">
        <x:v>Conducto/accesorio</x:v>
      </x:c>
      <x:c r="E46" s="38" t="str">
        <x:v>Reduccion Galvanizada De 250 A 200 Mm</x:v>
      </x:c>
      <x:c r="F46" s="38" t="str">
        <x:v>REDUCCION GALVANIZADA DE 250 A 200 MM</x:v>
      </x:c>
      <x:c r="G46" s="38" t="str">
        <x:v>CG-RD-250200</x:v>
      </x:c>
      <x:c r="H46" s="38" t="str">
        <x:v>Comercial Santana Alemán y González, S.L. (Grupo SAG)</x:v>
      </x:c>
      <x:c r="I46" s="38" t="str">
        <x:v>Factura FM/6941</x:v>
      </x:c>
      <x:c r="J46" s="115" t="str">
        <x:v>31/05/2026</x:v>
      </x:c>
      <x:c r="K46" s="38" t="str">
        <x:v>Albarán NT/26.001.238 (TABACO BARATO)</x:v>
      </x:c>
      <x:c r="L46" s="38" t="n">
        <x:v>1</x:v>
      </x:c>
      <x:c r="M46" s="38" t="str">
        <x:v>Unidad</x:v>
      </x:c>
      <x:c r="N46" s="38" t="n">
        <x:v>1</x:v>
      </x:c>
      <x:c r="O46" s="38" t="str">
        <x:v>Unidad</x:v>
      </x:c>
      <x:c r="P46" s="99" t="n">
        <x:v>31.34</x:v>
      </x:c>
      <x:c r="Q46" s="114" t="n">
        <x:v>0.5</x:v>
      </x:c>
      <x:c r="R46" s="99" t="n">
        <x:v>15.67</x:v>
      </x:c>
      <x:c r="S46" s="99" t="n">
        <x:f>IFERROR(R46/L46,P46*(1-Q46))</x:f>
        <x:v>15.67</x:v>
      </x:c>
      <x:c r="T46" s="114" t="n">
        <x:v>0.07</x:v>
      </x:c>
      <x:c r="U46" s="99" t="n">
        <x:f>S46*(1+T46)</x:f>
        <x:v>16.7669</x:v>
      </x:c>
      <x:c r="V46" s="99" t="n">
        <x:f>S46</x:f>
        <x:v>15.67</x:v>
      </x:c>
      <x:c r="W46" s="99" t="n">
        <x:f>V46-S46</x:f>
        <x:v>0</x:v>
      </x:c>
      <x:c r="X46" s="114" t="n">
        <x:f>IFERROR(W46/V46,0)</x:f>
        <x:v>0</x:v>
      </x:c>
      <x:c r="Y46" s="38" t="str">
        <x:v>Por unidad</x:v>
      </x:c>
      <x:c r="Z46" s="38" t="str">
        <x:f>IF(Y46="Botella / 3 instalaciones","Precio botella / 3",IF(Y46="Por rollo o metros proporcionales","Si se pasa rollo: rollo completo. Si se pasan metros: proporcional",Y46))</x:f>
        <x:v>Por unidad</x:v>
      </x:c>
      <x:c r="AA46" s="38" t="n">
        <x:v>1</x:v>
      </x:c>
      <x:c r="AB46" s="38" t="str"/>
      <x:c r="AC46" s="38" t="str"/>
      <x:c r="AD46" s="116" t="str">
        <x:v>2026-06-30</x:v>
      </x:c>
      <x:c r="AE46" s="38" t="str">
        <x:v>No</x:v>
      </x:c>
      <x:c r="AF46" s="38" t="str"/>
    </x:row>
    <x:row r="47">
      <x:c r="A47" s="38" t="str">
        <x:v>MAT-0046</x:v>
      </x:c>
      <x:c r="B47" s="38" t="str">
        <x:v>Sí</x:v>
      </x:c>
      <x:c r="C47" s="38" t="str">
        <x:v>Conductos/Ventilación</x:v>
      </x:c>
      <x:c r="D47" s="38" t="str">
        <x:v>Conducto/accesorio</x:v>
      </x:c>
      <x:c r="E47" s="38" t="str">
        <x:v>Manguito Galvanizado De 200 Mm</x:v>
      </x:c>
      <x:c r="F47" s="38" t="str">
        <x:v>MANGUITO GALVANIZADO DE 200 MM</x:v>
      </x:c>
      <x:c r="G47" s="38" t="str">
        <x:v>CG-MAN-200</x:v>
      </x:c>
      <x:c r="H47" s="38" t="str">
        <x:v>Comercial Santana Alemán y González, S.L. (Grupo SAG)</x:v>
      </x:c>
      <x:c r="I47" s="38" t="str">
        <x:v>Factura FM/6941</x:v>
      </x:c>
      <x:c r="J47" s="115" t="str">
        <x:v>31/05/2026</x:v>
      </x:c>
      <x:c r="K47" s="38" t="str">
        <x:v>Albarán NT/26.001.238 (TABACO BARATO)</x:v>
      </x:c>
      <x:c r="L47" s="38" t="n">
        <x:v>2</x:v>
      </x:c>
      <x:c r="M47" s="38" t="str">
        <x:v>Unidad</x:v>
      </x:c>
      <x:c r="N47" s="38" t="n">
        <x:v>1</x:v>
      </x:c>
      <x:c r="O47" s="38" t="str">
        <x:v>Unidad</x:v>
      </x:c>
      <x:c r="P47" s="99" t="n">
        <x:v>5.998</x:v>
      </x:c>
      <x:c r="Q47" s="114" t="n">
        <x:v>0.5</x:v>
      </x:c>
      <x:c r="R47" s="99" t="n">
        <x:v>6</x:v>
      </x:c>
      <x:c r="S47" s="99" t="n">
        <x:f>IFERROR(R47/L47,P47*(1-Q47))</x:f>
        <x:v>3</x:v>
      </x:c>
      <x:c r="T47" s="114" t="n">
        <x:v>0.07</x:v>
      </x:c>
      <x:c r="U47" s="99" t="n">
        <x:f>S47*(1+T47)</x:f>
        <x:v>3.21</x:v>
      </x:c>
      <x:c r="V47" s="99" t="n">
        <x:f>S47</x:f>
        <x:v>3</x:v>
      </x:c>
      <x:c r="W47" s="99" t="n">
        <x:f>V47-S47</x:f>
        <x:v>0</x:v>
      </x:c>
      <x:c r="X47" s="114" t="n">
        <x:f>IFERROR(W47/V47,0)</x:f>
        <x:v>0</x:v>
      </x:c>
      <x:c r="Y47" s="38" t="str">
        <x:v>Por unidad</x:v>
      </x:c>
      <x:c r="Z47" s="38" t="str">
        <x:f>IF(Y47="Botella / 3 instalaciones","Precio botella / 3",IF(Y47="Por rollo o metros proporcionales","Si se pasa rollo: rollo completo. Si se pasan metros: proporcional",Y47))</x:f>
        <x:v>Por unidad</x:v>
      </x:c>
      <x:c r="AA47" s="38" t="n">
        <x:v>1</x:v>
      </x:c>
      <x:c r="AB47" s="38" t="str"/>
      <x:c r="AC47" s="38" t="str"/>
      <x:c r="AD47" s="116" t="str">
        <x:v>2026-06-30</x:v>
      </x:c>
      <x:c r="AE47" s="38" t="str">
        <x:v>No</x:v>
      </x:c>
      <x:c r="AF47" s="38" t="str"/>
    </x:row>
    <x:row r="48">
      <x:c r="A48" s="38" t="str">
        <x:v>MAT-0047</x:v>
      </x:c>
      <x:c r="B48" s="38" t="str">
        <x:v>Sí</x:v>
      </x:c>
      <x:c r="C48" s="38" t="str">
        <x:v>Sin clasificar</x:v>
      </x:c>
      <x:c r="D48" s="38" t="str"/>
      <x:c r="E48" s="38" t="str">
        <x:v>Tapa Galvanizada De 200 Mm</x:v>
      </x:c>
      <x:c r="F48" s="38" t="str">
        <x:v>TAPA GALVANIZADA DE 200 MM</x:v>
      </x:c>
      <x:c r="G48" s="38" t="str">
        <x:v>CG-TAPA-200</x:v>
      </x:c>
      <x:c r="H48" s="38" t="str">
        <x:v>Comercial Santana Alemán y González, S.L. (Grupo SAG)</x:v>
      </x:c>
      <x:c r="I48" s="38" t="str">
        <x:v>Factura FM/6941</x:v>
      </x:c>
      <x:c r="J48" s="115" t="str">
        <x:v>31/05/2026</x:v>
      </x:c>
      <x:c r="K48" s="38" t="str">
        <x:v>Albarán NT/26.001.238 (TABACO BARATO)</x:v>
      </x:c>
      <x:c r="L48" s="38" t="n">
        <x:v>1</x:v>
      </x:c>
      <x:c r="M48" s="38" t="str">
        <x:v>Unidad</x:v>
      </x:c>
      <x:c r="N48" s="38" t="n">
        <x:v>1</x:v>
      </x:c>
      <x:c r="O48" s="38" t="str">
        <x:v>Unidad</x:v>
      </x:c>
      <x:c r="P48" s="99" t="n">
        <x:v>10.88</x:v>
      </x:c>
      <x:c r="Q48" s="114" t="n">
        <x:v>0.5</x:v>
      </x:c>
      <x:c r="R48" s="99" t="n">
        <x:v>5.44</x:v>
      </x:c>
      <x:c r="S48" s="99" t="n">
        <x:f>IFERROR(R48/L48,P48*(1-Q48))</x:f>
        <x:v>5.44</x:v>
      </x:c>
      <x:c r="T48" s="114" t="n">
        <x:v>0.07</x:v>
      </x:c>
      <x:c r="U48" s="99" t="n">
        <x:f>S48*(1+T48)</x:f>
        <x:v>5.820800000000001</x:v>
      </x:c>
      <x:c r="V48" s="99" t="n">
        <x:f>S48</x:f>
        <x:v>5.44</x:v>
      </x:c>
      <x:c r="W48" s="99" t="n">
        <x:f>V48-S48</x:f>
        <x:v>0</x:v>
      </x:c>
      <x:c r="X48" s="114" t="n">
        <x:f>IFERROR(W48/V48,0)</x:f>
        <x:v>0</x:v>
      </x:c>
      <x:c r="Y48" s="38" t="str">
        <x:v>Por unidad</x:v>
      </x:c>
      <x:c r="Z48" s="38" t="str">
        <x:f>IF(Y48="Botella / 3 instalaciones","Precio botella / 3",IF(Y48="Por rollo o metros proporcionales","Si se pasa rollo: rollo completo. Si se pasan metros: proporcional",Y48))</x:f>
        <x:v>Por unidad</x:v>
      </x:c>
      <x:c r="AA48" s="38" t="n">
        <x:v>1</x:v>
      </x:c>
      <x:c r="AB48" s="38" t="str"/>
      <x:c r="AC48" s="38" t="str"/>
      <x:c r="AD48" s="116" t="str">
        <x:v>2026-06-30</x:v>
      </x:c>
      <x:c r="AE48" s="38" t="str">
        <x:v>Sí</x:v>
      </x:c>
      <x:c r="AF48" s="38" t="str">
        <x:v>Revisar categoría antes de usar en cálculo automático.</x:v>
      </x:c>
    </x:row>
    <x:row r="49">
      <x:c r="A49" s="38" t="str">
        <x:v>MAT-0048</x:v>
      </x:c>
      <x:c r="B49" s="38" t="str">
        <x:v>Sí</x:v>
      </x:c>
      <x:c r="C49" s="38" t="str">
        <x:v>Sin clasificar</x:v>
      </x:c>
      <x:c r="D49" s="38" t="str"/>
      <x:c r="E49" s="38" t="str">
        <x:v>Abraz. Rm8+M10-200</x:v>
      </x:c>
      <x:c r="F49" s="38" t="str">
        <x:v>ABRAZ. RM8+M10-200</x:v>
      </x:c>
      <x:c r="G49" s="38" t="str">
        <x:v>15580200</x:v>
      </x:c>
      <x:c r="H49" s="38" t="str">
        <x:v>Comercial Santana Alemán y González, S.L. (Grupo SAG)</x:v>
      </x:c>
      <x:c r="I49" s="38" t="str">
        <x:v>Factura FM/6941</x:v>
      </x:c>
      <x:c r="J49" s="115" t="str">
        <x:v>31/05/2026</x:v>
      </x:c>
      <x:c r="K49" s="38" t="str">
        <x:v>Albarán NT/26.001.238 (TABACO BARATO)</x:v>
      </x:c>
      <x:c r="L49" s="38" t="n">
        <x:v>5</x:v>
      </x:c>
      <x:c r="M49" s="38" t="str">
        <x:v>Unidad</x:v>
      </x:c>
      <x:c r="N49" s="38" t="n">
        <x:v>1</x:v>
      </x:c>
      <x:c r="O49" s="38" t="str">
        <x:v>Unidad</x:v>
      </x:c>
      <x:c r="P49" s="99" t="n">
        <x:v>3.08</x:v>
      </x:c>
      <x:c r="Q49" s="114" t="n">
        <x:v>0.55</x:v>
      </x:c>
      <x:c r="R49" s="99" t="n">
        <x:v>6.93</x:v>
      </x:c>
      <x:c r="S49" s="99" t="n">
        <x:f>IFERROR(R49/L49,P49*(1-Q49))</x:f>
        <x:v>1.386</x:v>
      </x:c>
      <x:c r="T49" s="114" t="n">
        <x:v>0.07</x:v>
      </x:c>
      <x:c r="U49" s="99" t="n">
        <x:f>S49*(1+T49)</x:f>
        <x:v>1.48302</x:v>
      </x:c>
      <x:c r="V49" s="99" t="n">
        <x:f>S49</x:f>
        <x:v>1.386</x:v>
      </x:c>
      <x:c r="W49" s="99" t="n">
        <x:f>V49-S49</x:f>
        <x:v>0</x:v>
      </x:c>
      <x:c r="X49" s="114" t="n">
        <x:f>IFERROR(W49/V49,0)</x:f>
        <x:v>0</x:v>
      </x:c>
      <x:c r="Y49" s="38" t="str">
        <x:v>Por unidad</x:v>
      </x:c>
      <x:c r="Z49" s="38" t="str">
        <x:f>IF(Y49="Botella / 3 instalaciones","Precio botella / 3",IF(Y49="Por rollo o metros proporcionales","Si se pasa rollo: rollo completo. Si se pasan metros: proporcional",Y49))</x:f>
        <x:v>Por unidad</x:v>
      </x:c>
      <x:c r="AA49" s="38" t="n">
        <x:v>1</x:v>
      </x:c>
      <x:c r="AB49" s="38" t="str"/>
      <x:c r="AC49" s="38" t="str"/>
      <x:c r="AD49" s="116" t="str">
        <x:v>2026-06-30</x:v>
      </x:c>
      <x:c r="AE49" s="38" t="str">
        <x:v>Sí</x:v>
      </x:c>
      <x:c r="AF49" s="38" t="str">
        <x:v>Revisar categoría antes de usar en cálculo automático.</x:v>
      </x:c>
    </x:row>
    <x:row r="50">
      <x:c r="A50" s="38" t="str">
        <x:v>MAT-0049</x:v>
      </x:c>
      <x:c r="B50" s="38" t="str">
        <x:v>Sí</x:v>
      </x:c>
      <x:c r="C50" s="38" t="str">
        <x:v>Sin clasificar</x:v>
      </x:c>
      <x:c r="D50" s="38" t="str"/>
      <x:c r="E50" s="38" t="str">
        <x:v>Ml Tubo Flexible Sin Aislar De 102 Mm (10 Ml)</x:v>
      </x:c>
      <x:c r="F50" s="38" t="str">
        <x:v>ML TUBO FLEXIBLE SIN AISLAR DE 102 MM (10 ML)</x:v>
      </x:c>
      <x:c r="G50" s="38" t="str">
        <x:v>CG-TF-0102</x:v>
      </x:c>
      <x:c r="H50" s="38" t="str">
        <x:v>Comercial Santana Alemán y González, S.L. (Grupo SAG)</x:v>
      </x:c>
      <x:c r="I50" s="38" t="str">
        <x:v>Factura FM/6941</x:v>
      </x:c>
      <x:c r="J50" s="115" t="str">
        <x:v>31/05/2026</x:v>
      </x:c>
      <x:c r="K50" s="38" t="str">
        <x:v>Albarán NT/26.001.238 (TABACO BARATO)</x:v>
      </x:c>
      <x:c r="L50" s="38" t="n">
        <x:v>10</x:v>
      </x:c>
      <x:c r="M50" s="38" t="str">
        <x:v>Unidad</x:v>
      </x:c>
      <x:c r="N50" s="38" t="n">
        <x:v>1</x:v>
      </x:c>
      <x:c r="O50" s="38" t="str">
        <x:v>Unidad</x:v>
      </x:c>
      <x:c r="P50" s="99" t="n">
        <x:v>1.9</x:v>
      </x:c>
      <x:c r="Q50" s="114" t="n">
        <x:v>0.5</x:v>
      </x:c>
      <x:c r="R50" s="99" t="n">
        <x:v>9.5</x:v>
      </x:c>
      <x:c r="S50" s="99" t="n">
        <x:f>IFERROR(R50/L50,P50*(1-Q50))</x:f>
        <x:v>0.95</x:v>
      </x:c>
      <x:c r="T50" s="114" t="n">
        <x:v>0.07</x:v>
      </x:c>
      <x:c r="U50" s="99" t="n">
        <x:f>S50*(1+T50)</x:f>
        <x:v>1.0165</x:v>
      </x:c>
      <x:c r="V50" s="99" t="n">
        <x:f>S50</x:f>
        <x:v>0.95</x:v>
      </x:c>
      <x:c r="W50" s="99" t="n">
        <x:f>V50-S50</x:f>
        <x:v>0</x:v>
      </x:c>
      <x:c r="X50" s="114" t="n">
        <x:f>IFERROR(W50/V50,0)</x:f>
        <x:v>0</x:v>
      </x:c>
      <x:c r="Y50" s="38" t="str">
        <x:v>Por unidad</x:v>
      </x:c>
      <x:c r="Z50" s="38" t="str">
        <x:f>IF(Y50="Botella / 3 instalaciones","Precio botella / 3",IF(Y50="Por rollo o metros proporcionales","Si se pasa rollo: rollo completo. Si se pasan metros: proporcional",Y50))</x:f>
        <x:v>Por unidad</x:v>
      </x:c>
      <x:c r="AA50" s="38" t="n">
        <x:v>1</x:v>
      </x:c>
      <x:c r="AB50" s="38" t="str"/>
      <x:c r="AC50" s="38" t="str"/>
      <x:c r="AD50" s="116" t="str">
        <x:v>2026-06-30</x:v>
      </x:c>
      <x:c r="AE50" s="38" t="str">
        <x:v>Sí</x:v>
      </x:c>
      <x:c r="AF50" s="38" t="str">
        <x:v>Revisar categoría antes de usar en cálculo automático.</x:v>
      </x:c>
    </x:row>
    <x:row r="51">
      <x:c r="A51" s="38" t="str">
        <x:v>MAT-0050</x:v>
      </x:c>
      <x:c r="B51" s="38" t="str">
        <x:v>Sí</x:v>
      </x:c>
      <x:c r="C51" s="38" t="str">
        <x:v>Conductos/Ventilación</x:v>
      </x:c>
      <x:c r="D51" s="38" t="str">
        <x:v>Conducto/accesorio</x:v>
      </x:c>
      <x:c r="E51" s="38" t="str">
        <x:v>Regulador De Rejilla Rr 500*100 Mm</x:v>
      </x:c>
      <x:c r="F51" s="38" t="str">
        <x:v>REGULADOR DE REJILLA RR 500*100 MM</x:v>
      </x:c>
      <x:c r="G51" s="38" t="str">
        <x:v>DF-RR-500100</x:v>
      </x:c>
      <x:c r="H51" s="38" t="str">
        <x:v>Comercial Santana Alemán y González, S.L. (Grupo SAG)</x:v>
      </x:c>
      <x:c r="I51" s="38" t="str">
        <x:v>Factura FM/6941</x:v>
      </x:c>
      <x:c r="J51" s="115" t="str">
        <x:v>31/05/2026</x:v>
      </x:c>
      <x:c r="K51" s="38" t="str">
        <x:v>Albarán NT/26.001.238 (TABACO BARATO)</x:v>
      </x:c>
      <x:c r="L51" s="38" t="n">
        <x:v>4</x:v>
      </x:c>
      <x:c r="M51" s="38" t="str">
        <x:v>Unidad</x:v>
      </x:c>
      <x:c r="N51" s="38" t="n">
        <x:v>1</x:v>
      </x:c>
      <x:c r="O51" s="38" t="str">
        <x:v>Unidad</x:v>
      </x:c>
      <x:c r="P51" s="99" t="n">
        <x:v>23.96</x:v>
      </x:c>
      <x:c r="Q51" s="114" t="n">
        <x:v>0.4</x:v>
      </x:c>
      <x:c r="R51" s="99" t="n">
        <x:v>57.5</x:v>
      </x:c>
      <x:c r="S51" s="99" t="n">
        <x:f>IFERROR(R51/L51,P51*(1-Q51))</x:f>
        <x:v>14.375</x:v>
      </x:c>
      <x:c r="T51" s="114" t="n">
        <x:v>0.07</x:v>
      </x:c>
      <x:c r="U51" s="99" t="n">
        <x:f>S51*(1+T51)</x:f>
        <x:v>15.381250000000001</x:v>
      </x:c>
      <x:c r="V51" s="99" t="n">
        <x:f>S51</x:f>
        <x:v>14.375</x:v>
      </x:c>
      <x:c r="W51" s="99" t="n">
        <x:f>V51-S51</x:f>
        <x:v>0</x:v>
      </x:c>
      <x:c r="X51" s="114" t="n">
        <x:f>IFERROR(W51/V51,0)</x:f>
        <x:v>0</x:v>
      </x:c>
      <x:c r="Y51" s="38" t="str">
        <x:v>Por unidad</x:v>
      </x:c>
      <x:c r="Z51" s="38" t="str">
        <x:f>IF(Y51="Botella / 3 instalaciones","Precio botella / 3",IF(Y51="Por rollo o metros proporcionales","Si se pasa rollo: rollo completo. Si se pasan metros: proporcional",Y51))</x:f>
        <x:v>Por unidad</x:v>
      </x:c>
      <x:c r="AA51" s="38" t="n">
        <x:v>1</x:v>
      </x:c>
      <x:c r="AB51" s="38" t="str"/>
      <x:c r="AC51" s="38" t="str"/>
      <x:c r="AD51" s="116" t="str">
        <x:v>2026-06-30</x:v>
      </x:c>
      <x:c r="AE51" s="38" t="str">
        <x:v>No</x:v>
      </x:c>
      <x:c r="AF51" s="38" t="str"/>
    </x:row>
    <x:row r="52">
      <x:c r="A52" s="38" t="str">
        <x:v>MAT-0051</x:v>
      </x:c>
      <x:c r="B52" s="38" t="str">
        <x:v>Sí</x:v>
      </x:c>
      <x:c r="C52" s="38" t="str">
        <x:v>Conductos/Ventilación</x:v>
      </x:c>
      <x:c r="D52" s="38" t="str">
        <x:v>Conducto/accesorio</x:v>
      </x:c>
      <x:c r="E52" s="38" t="str">
        <x:v>Rejilla De Lamas Fijas A 45 Rrf 500*100 (Perforada)</x:v>
      </x:c>
      <x:c r="F52" s="38" t="str">
        <x:v>REJILLA DE LAMAS FIJAS A 45 RRF 500*100 (PERFORADA)</x:v>
      </x:c>
      <x:c r="G52" s="38" t="str">
        <x:v>DF-RRF-500100</x:v>
      </x:c>
      <x:c r="H52" s="38" t="str">
        <x:v>Comercial Santana Alemán y González, S.L. (Grupo SAG)</x:v>
      </x:c>
      <x:c r="I52" s="38" t="str">
        <x:v>Factura FM/6941</x:v>
      </x:c>
      <x:c r="J52" s="115" t="str">
        <x:v>31/05/2026</x:v>
      </x:c>
      <x:c r="K52" s="38" t="str">
        <x:v>Albarán NT/26.001.238 (TABACO BARATO)</x:v>
      </x:c>
      <x:c r="L52" s="38" t="n">
        <x:v>4</x:v>
      </x:c>
      <x:c r="M52" s="38" t="str">
        <x:v>Unidad</x:v>
      </x:c>
      <x:c r="N52" s="38" t="n">
        <x:v>1</x:v>
      </x:c>
      <x:c r="O52" s="38" t="str">
        <x:v>Unidad</x:v>
      </x:c>
      <x:c r="P52" s="99" t="n">
        <x:v>21.26</x:v>
      </x:c>
      <x:c r="Q52" s="114" t="n">
        <x:v>0.4</x:v>
      </x:c>
      <x:c r="R52" s="99" t="n">
        <x:v>51.02</x:v>
      </x:c>
      <x:c r="S52" s="99" t="n">
        <x:f>IFERROR(R52/L52,P52*(1-Q52))</x:f>
        <x:v>12.755</x:v>
      </x:c>
      <x:c r="T52" s="114" t="n">
        <x:v>0.07</x:v>
      </x:c>
      <x:c r="U52" s="99" t="n">
        <x:f>S52*(1+T52)</x:f>
        <x:v>13.647850000000002</x:v>
      </x:c>
      <x:c r="V52" s="99" t="n">
        <x:f>S52</x:f>
        <x:v>12.755</x:v>
      </x:c>
      <x:c r="W52" s="99" t="n">
        <x:f>V52-S52</x:f>
        <x:v>0</x:v>
      </x:c>
      <x:c r="X52" s="114" t="n">
        <x:f>IFERROR(W52/V52,0)</x:f>
        <x:v>0</x:v>
      </x:c>
      <x:c r="Y52" s="38" t="str">
        <x:v>Por unidad</x:v>
      </x:c>
      <x:c r="Z52" s="38" t="str">
        <x:f>IF(Y52="Botella / 3 instalaciones","Precio botella / 3",IF(Y52="Por rollo o metros proporcionales","Si se pasa rollo: rollo completo. Si se pasan metros: proporcional",Y52))</x:f>
        <x:v>Por unidad</x:v>
      </x:c>
      <x:c r="AA52" s="38" t="n">
        <x:v>1</x:v>
      </x:c>
      <x:c r="AB52" s="38" t="str"/>
      <x:c r="AC52" s="38" t="str"/>
      <x:c r="AD52" s="116" t="str">
        <x:v>2026-06-30</x:v>
      </x:c>
      <x:c r="AE52" s="38" t="str">
        <x:v>No</x:v>
      </x:c>
      <x:c r="AF52" s="38" t="str"/>
    </x:row>
    <x:row r="53">
      <x:c r="A53" s="38" t="str">
        <x:v>MAT-0052</x:v>
      </x:c>
      <x:c r="B53" s="38" t="str">
        <x:v>Sí</x:v>
      </x:c>
      <x:c r="C53" s="38" t="str">
        <x:v>Conductos/Ventilación</x:v>
      </x:c>
      <x:c r="D53" s="38" t="str">
        <x:v>Conducto/accesorio</x:v>
      </x:c>
      <x:c r="E53" s="38" t="str">
        <x:v>Liston Metalico Para Rejilla Mod. Mr-100</x:v>
      </x:c>
      <x:c r="F53" s="38" t="str">
        <x:v>LISTON METALICO PARA REJILLA MOD. MR-100</x:v>
      </x:c>
      <x:c r="G53" s="38" t="str">
        <x:v>DF-MR-00100</x:v>
      </x:c>
      <x:c r="H53" s="38" t="str">
        <x:v>Comercial Santana Alemán y González, S.L. (Grupo SAG)</x:v>
      </x:c>
      <x:c r="I53" s="38" t="str">
        <x:v>Factura FM/6941</x:v>
      </x:c>
      <x:c r="J53" s="115" t="str">
        <x:v>31/05/2026</x:v>
      </x:c>
      <x:c r="K53" s="38" t="str">
        <x:v>Albarán NT/26.001.238 (TABACO BARATO)</x:v>
      </x:c>
      <x:c r="L53" s="38" t="n">
        <x:v>8</x:v>
      </x:c>
      <x:c r="M53" s="38" t="str">
        <x:v>Unidad</x:v>
      </x:c>
      <x:c r="N53" s="38" t="n">
        <x:v>1</x:v>
      </x:c>
      <x:c r="O53" s="38" t="str">
        <x:v>Unidad</x:v>
      </x:c>
      <x:c r="P53" s="99" t="n">
        <x:v>0.88</x:v>
      </x:c>
      <x:c r="Q53" s="114" t="n">
        <x:v>0.4</x:v>
      </x:c>
      <x:c r="R53" s="99" t="n">
        <x:v>4.22</x:v>
      </x:c>
      <x:c r="S53" s="99" t="n">
        <x:f>IFERROR(R53/L53,P53*(1-Q53))</x:f>
        <x:v>0.5275</x:v>
      </x:c>
      <x:c r="T53" s="114" t="n">
        <x:v>0.07</x:v>
      </x:c>
      <x:c r="U53" s="99" t="n">
        <x:f>S53*(1+T53)</x:f>
        <x:v>0.564425</x:v>
      </x:c>
      <x:c r="V53" s="99" t="n">
        <x:f>S53</x:f>
        <x:v>0.5275</x:v>
      </x:c>
      <x:c r="W53" s="99" t="n">
        <x:f>V53-S53</x:f>
        <x:v>0</x:v>
      </x:c>
      <x:c r="X53" s="114" t="n">
        <x:f>IFERROR(W53/V53,0)</x:f>
        <x:v>0</x:v>
      </x:c>
      <x:c r="Y53" s="38" t="str">
        <x:v>Por unidad</x:v>
      </x:c>
      <x:c r="Z53" s="38" t="str">
        <x:f>IF(Y53="Botella / 3 instalaciones","Precio botella / 3",IF(Y53="Por rollo o metros proporcionales","Si se pasa rollo: rollo completo. Si se pasan metros: proporcional",Y53))</x:f>
        <x:v>Por unidad</x:v>
      </x:c>
      <x:c r="AA53" s="38" t="n">
        <x:v>1</x:v>
      </x:c>
      <x:c r="AB53" s="38" t="str"/>
      <x:c r="AC53" s="38" t="str"/>
      <x:c r="AD53" s="116" t="str">
        <x:v>2026-06-30</x:v>
      </x:c>
      <x:c r="AE53" s="38" t="str">
        <x:v>No</x:v>
      </x:c>
      <x:c r="AF53" s="38" t="str"/>
    </x:row>
    <x:row r="54">
      <x:c r="A54" s="38" t="str">
        <x:v>MAT-0053</x:v>
      </x:c>
      <x:c r="B54" s="38" t="str">
        <x:v>Sí</x:v>
      </x:c>
      <x:c r="C54" s="38" t="str">
        <x:v>Sin clasificar</x:v>
      </x:c>
      <x:c r="D54" s="38" t="str"/>
      <x:c r="E54" s="38" t="str">
        <x:v>Unidad Ventilacion Centrifugo Cadtm-9/9-4M 1/2 (2800 M3/H)</x:v>
      </x:c>
      <x:c r="F54" s="38" t="str">
        <x:v>UNIDAD VENTILACION CENTRIFUGO CADTM-9/9-4M 1/2 (2800 M3/H)</x:v>
      </x:c>
      <x:c r="G54" s="38" t="str">
        <x:v>80011006</x:v>
      </x:c>
      <x:c r="H54" s="38" t="str">
        <x:v>Comercial Santana Alemán y González, S.L. (Grupo SAG)</x:v>
      </x:c>
      <x:c r="I54" s="38" t="str">
        <x:v>Factura FM/6941</x:v>
      </x:c>
      <x:c r="J54" s="115" t="str">
        <x:v>31/05/2026</x:v>
      </x:c>
      <x:c r="K54" s="38" t="str">
        <x:v>Albarán NT/26.001.238 (TABACO BARATO)</x:v>
      </x:c>
      <x:c r="L54" s="38" t="n">
        <x:v>1</x:v>
      </x:c>
      <x:c r="M54" s="38" t="str">
        <x:v>Unidad</x:v>
      </x:c>
      <x:c r="N54" s="38" t="n">
        <x:v>1</x:v>
      </x:c>
      <x:c r="O54" s="38" t="str">
        <x:v>Unidad</x:v>
      </x:c>
      <x:c r="P54" s="99" t="n">
        <x:v>583</x:v>
      </x:c>
      <x:c r="Q54" s="114" t="n">
        <x:v>0.5</x:v>
      </x:c>
      <x:c r="R54" s="99" t="n">
        <x:v>291.5</x:v>
      </x:c>
      <x:c r="S54" s="99" t="n">
        <x:f>IFERROR(R54/L54,P54*(1-Q54))</x:f>
        <x:v>291.5</x:v>
      </x:c>
      <x:c r="T54" s="114" t="n">
        <x:v>0.07</x:v>
      </x:c>
      <x:c r="U54" s="99" t="n">
        <x:f>S54*(1+T54)</x:f>
        <x:v>311.90500000000003</x:v>
      </x:c>
      <x:c r="V54" s="99" t="n">
        <x:f>S54</x:f>
        <x:v>291.5</x:v>
      </x:c>
      <x:c r="W54" s="99" t="n">
        <x:f>V54-S54</x:f>
        <x:v>0</x:v>
      </x:c>
      <x:c r="X54" s="114" t="n">
        <x:f>IFERROR(W54/V54,0)</x:f>
        <x:v>0</x:v>
      </x:c>
      <x:c r="Y54" s="38" t="str">
        <x:v>Por unidad</x:v>
      </x:c>
      <x:c r="Z54" s="38" t="str">
        <x:f>IF(Y54="Botella / 3 instalaciones","Precio botella / 3",IF(Y54="Por rollo o metros proporcionales","Si se pasa rollo: rollo completo. Si se pasan metros: proporcional",Y54))</x:f>
        <x:v>Por unidad</x:v>
      </x:c>
      <x:c r="AA54" s="38" t="n">
        <x:v>1</x:v>
      </x:c>
      <x:c r="AB54" s="38" t="str"/>
      <x:c r="AC54" s="38" t="str"/>
      <x:c r="AD54" s="116" t="str">
        <x:v>2026-06-30</x:v>
      </x:c>
      <x:c r="AE54" s="38" t="str">
        <x:v>Sí</x:v>
      </x:c>
      <x:c r="AF54" s="38" t="str">
        <x:v>Revisar categoría antes de usar en cálculo automático.</x:v>
      </x:c>
    </x:row>
    <x:row r="55">
      <x:c r="A55" s="38" t="str">
        <x:v>MAT-0054</x:v>
      </x:c>
      <x:c r="B55" s="38" t="str">
        <x:v>Sí</x:v>
      </x:c>
      <x:c r="C55" s="38" t="str">
        <x:v>Sin clasificar</x:v>
      </x:c>
      <x:c r="D55" s="38" t="str"/>
      <x:c r="E55" s="38" t="str">
        <x:v>Pico Flauta Cadtm-9/9 300*260 Mm</x:v>
      </x:c>
      <x:c r="F55" s="38" t="str">
        <x:v>PICO FLAUTA CADTM-9/9 300*260 MM</x:v>
      </x:c>
      <x:c r="G55" s="38" t="str">
        <x:v>CG-PF-CADTM9/9</x:v>
      </x:c>
      <x:c r="H55" s="38" t="str">
        <x:v>Comercial Santana Alemán y González, S.L. (Grupo SAG)</x:v>
      </x:c>
      <x:c r="I55" s="38" t="str">
        <x:v>Factura FM/6941</x:v>
      </x:c>
      <x:c r="J55" s="115" t="str">
        <x:v>31/05/2026</x:v>
      </x:c>
      <x:c r="K55" s="38" t="str">
        <x:v>Albarán NT/26.001.238 (TABACO BARATO)</x:v>
      </x:c>
      <x:c r="L55" s="38" t="n">
        <x:v>1</x:v>
      </x:c>
      <x:c r="M55" s="38" t="str">
        <x:v>Unidad</x:v>
      </x:c>
      <x:c r="N55" s="38" t="n">
        <x:v>1</x:v>
      </x:c>
      <x:c r="O55" s="38" t="str">
        <x:v>Unidad</x:v>
      </x:c>
      <x:c r="P55" s="99" t="n">
        <x:v>67.6</x:v>
      </x:c>
      <x:c r="Q55" s="114" t="n">
        <x:v>0.5</x:v>
      </x:c>
      <x:c r="R55" s="99" t="n">
        <x:v>33.8</x:v>
      </x:c>
      <x:c r="S55" s="99" t="n">
        <x:f>IFERROR(R55/L55,P55*(1-Q55))</x:f>
        <x:v>33.8</x:v>
      </x:c>
      <x:c r="T55" s="114" t="n">
        <x:v>0.07</x:v>
      </x:c>
      <x:c r="U55" s="99" t="n">
        <x:f>S55*(1+T55)</x:f>
        <x:v>36.166</x:v>
      </x:c>
      <x:c r="V55" s="99" t="n">
        <x:f>S55</x:f>
        <x:v>33.8</x:v>
      </x:c>
      <x:c r="W55" s="99" t="n">
        <x:f>V55-S55</x:f>
        <x:v>0</x:v>
      </x:c>
      <x:c r="X55" s="114" t="n">
        <x:f>IFERROR(W55/V55,0)</x:f>
        <x:v>0</x:v>
      </x:c>
      <x:c r="Y55" s="38" t="str">
        <x:v>Por unidad</x:v>
      </x:c>
      <x:c r="Z55" s="38" t="str">
        <x:f>IF(Y55="Botella / 3 instalaciones","Precio botella / 3",IF(Y55="Por rollo o metros proporcionales","Si se pasa rollo: rollo completo. Si se pasan metros: proporcional",Y55))</x:f>
        <x:v>Por unidad</x:v>
      </x:c>
      <x:c r="AA55" s="38" t="n">
        <x:v>1</x:v>
      </x:c>
      <x:c r="AB55" s="38" t="str"/>
      <x:c r="AC55" s="38" t="str"/>
      <x:c r="AD55" s="116" t="str">
        <x:v>2026-06-30</x:v>
      </x:c>
      <x:c r="AE55" s="38" t="str">
        <x:v>Sí</x:v>
      </x:c>
      <x:c r="AF55" s="38" t="str">
        <x:v>Revisar categoría antes de usar en cálculo automático.</x:v>
      </x:c>
    </x:row>
    <x:row r="56">
      <x:c r="A56" s="38" t="str">
        <x:v>MAT-0055</x:v>
      </x:c>
      <x:c r="B56" s="38" t="str">
        <x:v>Sí</x:v>
      </x:c>
      <x:c r="C56" s="38" t="str">
        <x:v>Sin clasificar</x:v>
      </x:c>
      <x:c r="D56" s="38" t="str"/>
      <x:c r="E56" s="38" t="str">
        <x:v>Ml Junta Flexible Anti Vibratoria. (45+60+45) 400°C</x:v>
      </x:c>
      <x:c r="F56" s="38" t="str">
        <x:v>ML JUNTA FLEXIBLE ANTI VIBRATORIA. (45+60+45) 400°C</x:v>
      </x:c>
      <x:c r="G56" s="38" t="str">
        <x:v>CA09321</x:v>
      </x:c>
      <x:c r="H56" s="38" t="str">
        <x:v>Comercial Santana Alemán y González, S.L. (Grupo SAG)</x:v>
      </x:c>
      <x:c r="I56" s="38" t="str">
        <x:v>Factura FM/6941</x:v>
      </x:c>
      <x:c r="J56" s="115" t="str">
        <x:v>31/05/2026</x:v>
      </x:c>
      <x:c r="K56" s="38" t="str">
        <x:v>Albarán NT/26.001.238 (TABACO BARATO)</x:v>
      </x:c>
      <x:c r="L56" s="38" t="n">
        <x:v>4</x:v>
      </x:c>
      <x:c r="M56" s="38" t="str">
        <x:v>Unidad</x:v>
      </x:c>
      <x:c r="N56" s="38" t="n">
        <x:v>1</x:v>
      </x:c>
      <x:c r="O56" s="38" t="str">
        <x:v>Unidad</x:v>
      </x:c>
      <x:c r="P56" s="99" t="n">
        <x:v>10.5</x:v>
      </x:c>
      <x:c r="Q56" s="114" t="n">
        <x:v>0.4</x:v>
      </x:c>
      <x:c r="R56" s="99" t="n">
        <x:v>25.2</x:v>
      </x:c>
      <x:c r="S56" s="99" t="n">
        <x:f>IFERROR(R56/L56,P56*(1-Q56))</x:f>
        <x:v>6.3</x:v>
      </x:c>
      <x:c r="T56" s="114" t="n">
        <x:v>0.07</x:v>
      </x:c>
      <x:c r="U56" s="99" t="n">
        <x:f>S56*(1+T56)</x:f>
        <x:v>6.7410000000000005</x:v>
      </x:c>
      <x:c r="V56" s="99" t="n">
        <x:f>S56</x:f>
        <x:v>6.3</x:v>
      </x:c>
      <x:c r="W56" s="99" t="n">
        <x:f>V56-S56</x:f>
        <x:v>0</x:v>
      </x:c>
      <x:c r="X56" s="114" t="n">
        <x:f>IFERROR(W56/V56,0)</x:f>
        <x:v>0</x:v>
      </x:c>
      <x:c r="Y56" s="38" t="str">
        <x:v>Por unidad</x:v>
      </x:c>
      <x:c r="Z56" s="38" t="str">
        <x:f>IF(Y56="Botella / 3 instalaciones","Precio botella / 3",IF(Y56="Por rollo o metros proporcionales","Si se pasa rollo: rollo completo. Si se pasan metros: proporcional",Y56))</x:f>
        <x:v>Por unidad</x:v>
      </x:c>
      <x:c r="AA56" s="38" t="n">
        <x:v>1</x:v>
      </x:c>
      <x:c r="AB56" s="38" t="str"/>
      <x:c r="AC56" s="38" t="str"/>
      <x:c r="AD56" s="116" t="str">
        <x:v>2026-06-30</x:v>
      </x:c>
      <x:c r="AE56" s="38" t="str">
        <x:v>Sí</x:v>
      </x:c>
      <x:c r="AF56" s="38" t="str">
        <x:v>Revisar categoría antes de usar en cálculo automático.</x:v>
      </x:c>
    </x:row>
    <x:row r="57">
      <x:c r="A57" s="38" t="str">
        <x:v>MAT-0056</x:v>
      </x:c>
      <x:c r="B57" s="38" t="str">
        <x:v>Sí</x:v>
      </x:c>
      <x:c r="C57" s="38" t="str">
        <x:v>Sin clasificar</x:v>
      </x:c>
      <x:c r="D57" s="38" t="str"/>
      <x:c r="E57" s="38" t="str">
        <x:v>Ml Tubo Helicoidal Galva Marca Sag De 250 Mm (3 Metros)</x:v>
      </x:c>
      <x:c r="F57" s="38" t="str">
        <x:v>ML TUBO HELICOIDAL GALVA MARCA SAG DE 250 MM (3 METROS)</x:v>
      </x:c>
      <x:c r="G57" s="38" t="str">
        <x:v>CG-THG-0250</x:v>
      </x:c>
      <x:c r="H57" s="38" t="str">
        <x:v>Comercial Santana Alemán y González, S.L. (Grupo SAG)</x:v>
      </x:c>
      <x:c r="I57" s="38" t="str">
        <x:v>Factura FM/6941</x:v>
      </x:c>
      <x:c r="J57" s="115" t="str">
        <x:v>31/05/2026</x:v>
      </x:c>
      <x:c r="K57" s="38" t="str">
        <x:v>Albarán NT/26.001.238 (TABACO BARATO)</x:v>
      </x:c>
      <x:c r="L57" s="38" t="n">
        <x:v>12</x:v>
      </x:c>
      <x:c r="M57" s="38" t="str">
        <x:v>Unidad</x:v>
      </x:c>
      <x:c r="N57" s="38" t="n">
        <x:v>1</x:v>
      </x:c>
      <x:c r="O57" s="38" t="str">
        <x:v>Unidad</x:v>
      </x:c>
      <x:c r="P57" s="99" t="n">
        <x:v>26.75</x:v>
      </x:c>
      <x:c r="Q57" s="114" t="n">
        <x:v>0.5</x:v>
      </x:c>
      <x:c r="R57" s="99" t="n">
        <x:v>160.5</x:v>
      </x:c>
      <x:c r="S57" s="99" t="n">
        <x:f>IFERROR(R57/L57,P57*(1-Q57))</x:f>
        <x:v>13.375</x:v>
      </x:c>
      <x:c r="T57" s="114" t="n">
        <x:v>0.07</x:v>
      </x:c>
      <x:c r="U57" s="99" t="n">
        <x:f>S57*(1+T57)</x:f>
        <x:v>14.311250000000001</x:v>
      </x:c>
      <x:c r="V57" s="99" t="n">
        <x:f>S57</x:f>
        <x:v>13.375</x:v>
      </x:c>
      <x:c r="W57" s="99" t="n">
        <x:f>V57-S57</x:f>
        <x:v>0</x:v>
      </x:c>
      <x:c r="X57" s="114" t="n">
        <x:f>IFERROR(W57/V57,0)</x:f>
        <x:v>0</x:v>
      </x:c>
      <x:c r="Y57" s="38" t="str">
        <x:v>Por unidad</x:v>
      </x:c>
      <x:c r="Z57" s="38" t="str">
        <x:f>IF(Y57="Botella / 3 instalaciones","Precio botella / 3",IF(Y57="Por rollo o metros proporcionales","Si se pasa rollo: rollo completo. Si se pasan metros: proporcional",Y57))</x:f>
        <x:v>Por unidad</x:v>
      </x:c>
      <x:c r="AA57" s="38" t="n">
        <x:v>1</x:v>
      </x:c>
      <x:c r="AB57" s="38" t="str"/>
      <x:c r="AC57" s="38" t="str"/>
      <x:c r="AD57" s="116" t="str">
        <x:v>2026-06-30</x:v>
      </x:c>
      <x:c r="AE57" s="38" t="str">
        <x:v>Sí</x:v>
      </x:c>
      <x:c r="AF57" s="38" t="str">
        <x:v>Revisar categoría antes de usar en cálculo automático.</x:v>
      </x:c>
    </x:row>
    <x:row r="58">
      <x:c r="A58" s="38" t="str">
        <x:v>MAT-0057</x:v>
      </x:c>
      <x:c r="B58" s="38" t="str">
        <x:v>Sí</x:v>
      </x:c>
      <x:c r="C58" s="38" t="str">
        <x:v>Sin clasificar</x:v>
      </x:c>
      <x:c r="D58" s="38" t="str"/>
      <x:c r="E58" s="38" t="str">
        <x:v>Ml Tubo Helicoidal Galva Marca Sag De 200 Mm (3 Metros)</x:v>
      </x:c>
      <x:c r="F58" s="38" t="str">
        <x:v>ML TUBO HELICOIDAL GALVA MARCA SAG DE 200 MM (3 METROS)</x:v>
      </x:c>
      <x:c r="G58" s="38" t="str">
        <x:v>CG-THG-0200</x:v>
      </x:c>
      <x:c r="H58" s="38" t="str">
        <x:v>Comercial Santana Alemán y González, S.L. (Grupo SAG)</x:v>
      </x:c>
      <x:c r="I58" s="38" t="str">
        <x:v>Factura FM/6941</x:v>
      </x:c>
      <x:c r="J58" s="115" t="str">
        <x:v>31/05/2026</x:v>
      </x:c>
      <x:c r="K58" s="38" t="str">
        <x:v>Albarán NT/26.001.238 (TABACO BARATO)</x:v>
      </x:c>
      <x:c r="L58" s="38" t="n">
        <x:v>9</x:v>
      </x:c>
      <x:c r="M58" s="38" t="str">
        <x:v>Unidad</x:v>
      </x:c>
      <x:c r="N58" s="38" t="n">
        <x:v>1</x:v>
      </x:c>
      <x:c r="O58" s="38" t="str">
        <x:v>Unidad</x:v>
      </x:c>
      <x:c r="P58" s="99" t="n">
        <x:v>18.3</x:v>
      </x:c>
      <x:c r="Q58" s="114" t="n">
        <x:v>0.5</x:v>
      </x:c>
      <x:c r="R58" s="99" t="n">
        <x:v>82.35</x:v>
      </x:c>
      <x:c r="S58" s="99" t="n">
        <x:f>IFERROR(R58/L58,P58*(1-Q58))</x:f>
        <x:v>9.149999999999999</x:v>
      </x:c>
      <x:c r="T58" s="114" t="n">
        <x:v>0.07</x:v>
      </x:c>
      <x:c r="U58" s="99" t="n">
        <x:f>S58*(1+T58)</x:f>
        <x:v>9.7905</x:v>
      </x:c>
      <x:c r="V58" s="99" t="n">
        <x:f>S58</x:f>
        <x:v>9.149999999999999</x:v>
      </x:c>
      <x:c r="W58" s="99" t="n">
        <x:f>V58-S58</x:f>
        <x:v>0</x:v>
      </x:c>
      <x:c r="X58" s="114" t="n">
        <x:f>IFERROR(W58/V58,0)</x:f>
        <x:v>0</x:v>
      </x:c>
      <x:c r="Y58" s="38" t="str">
        <x:v>Por unidad</x:v>
      </x:c>
      <x:c r="Z58" s="38" t="str">
        <x:f>IF(Y58="Botella / 3 instalaciones","Precio botella / 3",IF(Y58="Por rollo o metros proporcionales","Si se pasa rollo: rollo completo. Si se pasan metros: proporcional",Y58))</x:f>
        <x:v>Por unidad</x:v>
      </x:c>
      <x:c r="AA58" s="38" t="n">
        <x:v>1</x:v>
      </x:c>
      <x:c r="AB58" s="38" t="str"/>
      <x:c r="AC58" s="38" t="str"/>
      <x:c r="AD58" s="116" t="str">
        <x:v>2026-06-30</x:v>
      </x:c>
      <x:c r="AE58" s="38" t="str">
        <x:v>Sí</x:v>
      </x:c>
      <x:c r="AF58" s="38" t="str">
        <x:v>Revisar categoría antes de usar en cálculo automático.</x:v>
      </x:c>
    </x:row>
    <x:row r="59">
      <x:c r="A59" s="38" t="str">
        <x:v>MAT-0058</x:v>
      </x:c>
      <x:c r="B59" s="38" t="str">
        <x:v>Sí</x:v>
      </x:c>
      <x:c r="C59" s="38" t="str">
        <x:v>Sin clasificar</x:v>
      </x:c>
      <x:c r="D59" s="38" t="str"/>
      <x:c r="E59" s="38" t="str">
        <x:v>Ml Tubo Helicoidal Galva Marca Sag De 100 Mm (3 Metros)</x:v>
      </x:c>
      <x:c r="F59" s="38" t="str">
        <x:v>ML TUBO HELICOIDAL GALVA MARCA SAG DE 100 MM (3 METROS)</x:v>
      </x:c>
      <x:c r="G59" s="38" t="str">
        <x:v>CG-THG-0100</x:v>
      </x:c>
      <x:c r="H59" s="38" t="str">
        <x:v>Comercial Santana Alemán y González, S.L. (Grupo SAG)</x:v>
      </x:c>
      <x:c r="I59" s="38" t="str">
        <x:v>Albarán NT/26001505</x:v>
      </x:c>
      <x:c r="J59" s="115" t="str">
        <x:v>01/06/2026</x:v>
      </x:c>
      <x:c r="K59" s="38" t="str">
        <x:v>initen</x:v>
      </x:c>
      <x:c r="L59" s="38" t="n">
        <x:v>3</x:v>
      </x:c>
      <x:c r="M59" s="38" t="str">
        <x:v>Unidad</x:v>
      </x:c>
      <x:c r="N59" s="38" t="n">
        <x:v>1</x:v>
      </x:c>
      <x:c r="O59" s="38" t="str">
        <x:v>Unidad</x:v>
      </x:c>
      <x:c r="P59" s="99" t="n">
        <x:v>8.9</x:v>
      </x:c>
      <x:c r="Q59" s="114" t="n">
        <x:v>0.5</x:v>
      </x:c>
      <x:c r="R59" s="99" t="n">
        <x:v>13.35</x:v>
      </x:c>
      <x:c r="S59" s="99" t="n">
        <x:f>IFERROR(R59/L59,P59*(1-Q59))</x:f>
        <x:v>4.45</x:v>
      </x:c>
      <x:c r="T59" s="114" t="n">
        <x:v>0.07</x:v>
      </x:c>
      <x:c r="U59" s="99" t="n">
        <x:f>S59*(1+T59)</x:f>
        <x:v>4.761500000000001</x:v>
      </x:c>
      <x:c r="V59" s="99" t="n">
        <x:f>S59</x:f>
        <x:v>4.45</x:v>
      </x:c>
      <x:c r="W59" s="99" t="n">
        <x:f>V59-S59</x:f>
        <x:v>0</x:v>
      </x:c>
      <x:c r="X59" s="114" t="n">
        <x:f>IFERROR(W59/V59,0)</x:f>
        <x:v>0</x:v>
      </x:c>
      <x:c r="Y59" s="38" t="str">
        <x:v>Por unidad</x:v>
      </x:c>
      <x:c r="Z59" s="38" t="str">
        <x:f>IF(Y59="Botella / 3 instalaciones","Precio botella / 3",IF(Y59="Por rollo o metros proporcionales","Si se pasa rollo: rollo completo. Si se pasan metros: proporcional",Y59))</x:f>
        <x:v>Por unidad</x:v>
      </x:c>
      <x:c r="AA59" s="38" t="n">
        <x:v>1</x:v>
      </x:c>
      <x:c r="AB59" s="38" t="str"/>
      <x:c r="AC59" s="38" t="str"/>
      <x:c r="AD59" s="116" t="str">
        <x:v>2026-06-30</x:v>
      </x:c>
      <x:c r="AE59" s="38" t="str">
        <x:v>Sí</x:v>
      </x:c>
      <x:c r="AF59" s="38" t="str">
        <x:v>Revisar categoría antes de usar en cálculo automático.</x:v>
      </x:c>
    </x:row>
    <x:row r="60">
      <x:c r="A60" s="38" t="str">
        <x:v>MAT-0059</x:v>
      </x:c>
      <x:c r="B60" s="38" t="str">
        <x:v>Sí</x:v>
      </x:c>
      <x:c r="C60" s="38" t="str">
        <x:v>Conductos/Ventilación</x:v>
      </x:c>
      <x:c r="D60" s="38" t="str">
        <x:v>Conducto/accesorio</x:v>
      </x:c>
      <x:c r="E60" s="38" t="str">
        <x:v>Codo Galvanizado 90 100 Mm</x:v>
      </x:c>
      <x:c r="F60" s="38" t="str">
        <x:v>CODO GALVANIZADO 90 100 MM</x:v>
      </x:c>
      <x:c r="G60" s="38" t="str">
        <x:v>CG-COD90-100</x:v>
      </x:c>
      <x:c r="H60" s="38" t="str">
        <x:v>Comercial Santana Alemán y González, S.L. (Grupo SAG)</x:v>
      </x:c>
      <x:c r="I60" s="38" t="str">
        <x:v>Albarán NT/26001505</x:v>
      </x:c>
      <x:c r="J60" s="115" t="str">
        <x:v>01/06/2026</x:v>
      </x:c>
      <x:c r="K60" s="38" t="str">
        <x:v>initen</x:v>
      </x:c>
      <x:c r="L60" s="38" t="n">
        <x:v>3</x:v>
      </x:c>
      <x:c r="M60" s="38" t="str">
        <x:v>Unidad</x:v>
      </x:c>
      <x:c r="N60" s="38" t="n">
        <x:v>1</x:v>
      </x:c>
      <x:c r="O60" s="38" t="str">
        <x:v>Unidad</x:v>
      </x:c>
      <x:c r="P60" s="99" t="n">
        <x:v>9.2</x:v>
      </x:c>
      <x:c r="Q60" s="114" t="n">
        <x:v>0.5</x:v>
      </x:c>
      <x:c r="R60" s="99" t="n">
        <x:v>13.8</x:v>
      </x:c>
      <x:c r="S60" s="99" t="n">
        <x:f>IFERROR(R60/L60,P60*(1-Q60))</x:f>
        <x:v>4.6000000000000005</x:v>
      </x:c>
      <x:c r="T60" s="114" t="n">
        <x:v>0.07</x:v>
      </x:c>
      <x:c r="U60" s="99" t="n">
        <x:f>S60*(1+T60)</x:f>
        <x:v>4.922000000000001</x:v>
      </x:c>
      <x:c r="V60" s="99" t="n">
        <x:f>S60</x:f>
        <x:v>4.6000000000000005</x:v>
      </x:c>
      <x:c r="W60" s="99" t="n">
        <x:f>V60-S60</x:f>
        <x:v>0</x:v>
      </x:c>
      <x:c r="X60" s="114" t="n">
        <x:f>IFERROR(W60/V60,0)</x:f>
        <x:v>0</x:v>
      </x:c>
      <x:c r="Y60" s="38" t="str">
        <x:v>Por unidad</x:v>
      </x:c>
      <x:c r="Z60" s="38" t="str">
        <x:f>IF(Y60="Botella / 3 instalaciones","Precio botella / 3",IF(Y60="Por rollo o metros proporcionales","Si se pasa rollo: rollo completo. Si se pasan metros: proporcional",Y60))</x:f>
        <x:v>Por unidad</x:v>
      </x:c>
      <x:c r="AA60" s="38" t="n">
        <x:v>1</x:v>
      </x:c>
      <x:c r="AB60" s="38" t="str"/>
      <x:c r="AC60" s="38" t="str"/>
      <x:c r="AD60" s="116" t="str">
        <x:v>2026-06-30</x:v>
      </x:c>
      <x:c r="AE60" s="38" t="str">
        <x:v>No</x:v>
      </x:c>
      <x:c r="AF60" s="38" t="str"/>
    </x:row>
    <x:row r="61">
      <x:c r="A61" s="38" t="str">
        <x:v>MAT-0060</x:v>
      </x:c>
      <x:c r="B61" s="38" t="str">
        <x:v>Sí</x:v>
      </x:c>
      <x:c r="C61" s="38" t="str">
        <x:v>Sin clasificar</x:v>
      </x:c>
      <x:c r="D61" s="38" t="str"/>
      <x:c r="E61" s="38" t="str">
        <x:v>Ml Tubo Flexible Sin Aislar De 102 Mm (10 Ml)</x:v>
      </x:c>
      <x:c r="F61" s="38" t="str">
        <x:v>ML TUBO FLEXIBLE SIN AISLAR DE 102 MM (10 ML)</x:v>
      </x:c>
      <x:c r="G61" s="38" t="str">
        <x:v>CG-TF-0102</x:v>
      </x:c>
      <x:c r="H61" s="38" t="str">
        <x:v>Comercial Santana Alemán y González, S.L. (Grupo SAG)</x:v>
      </x:c>
      <x:c r="I61" s="38" t="str">
        <x:v>Albarán NT/26001505</x:v>
      </x:c>
      <x:c r="J61" s="115" t="str">
        <x:v>01/06/2026</x:v>
      </x:c>
      <x:c r="K61" s="38" t="str">
        <x:v>initen</x:v>
      </x:c>
      <x:c r="L61" s="38" t="n">
        <x:v>10</x:v>
      </x:c>
      <x:c r="M61" s="38" t="str">
        <x:v>Unidad</x:v>
      </x:c>
      <x:c r="N61" s="38" t="n">
        <x:v>1</x:v>
      </x:c>
      <x:c r="O61" s="38" t="str">
        <x:v>Unidad</x:v>
      </x:c>
      <x:c r="P61" s="99" t="n">
        <x:v>1.9</x:v>
      </x:c>
      <x:c r="Q61" s="114" t="n">
        <x:v>0.5</x:v>
      </x:c>
      <x:c r="R61" s="99" t="n">
        <x:v>9.5</x:v>
      </x:c>
      <x:c r="S61" s="99" t="n">
        <x:f>IFERROR(R61/L61,P61*(1-Q61))</x:f>
        <x:v>0.95</x:v>
      </x:c>
      <x:c r="T61" s="114" t="n">
        <x:v>0.07</x:v>
      </x:c>
      <x:c r="U61" s="99" t="n">
        <x:f>S61*(1+T61)</x:f>
        <x:v>1.0165</x:v>
      </x:c>
      <x:c r="V61" s="99" t="n">
        <x:f>S61</x:f>
        <x:v>0.95</x:v>
      </x:c>
      <x:c r="W61" s="99" t="n">
        <x:f>V61-S61</x:f>
        <x:v>0</x:v>
      </x:c>
      <x:c r="X61" s="114" t="n">
        <x:f>IFERROR(W61/V61,0)</x:f>
        <x:v>0</x:v>
      </x:c>
      <x:c r="Y61" s="38" t="str">
        <x:v>Por unidad</x:v>
      </x:c>
      <x:c r="Z61" s="38" t="str">
        <x:f>IF(Y61="Botella / 3 instalaciones","Precio botella / 3",IF(Y61="Por rollo o metros proporcionales","Si se pasa rollo: rollo completo. Si se pasan metros: proporcional",Y61))</x:f>
        <x:v>Por unidad</x:v>
      </x:c>
      <x:c r="AA61" s="38" t="n">
        <x:v>1</x:v>
      </x:c>
      <x:c r="AB61" s="38" t="str"/>
      <x:c r="AC61" s="38" t="str"/>
      <x:c r="AD61" s="116" t="str">
        <x:v>2026-06-30</x:v>
      </x:c>
      <x:c r="AE61" s="38" t="str">
        <x:v>Sí</x:v>
      </x:c>
      <x:c r="AF61" s="38" t="str">
        <x:v>Revisar categoría antes de usar en cálculo automático.</x:v>
      </x:c>
    </x:row>
    <x:row r="62">
      <x:c r="A62" s="38" t="str">
        <x:v>MAT-0061</x:v>
      </x:c>
      <x:c r="B62" s="38" t="str">
        <x:v>Sí</x:v>
      </x:c>
      <x:c r="C62" s="38" t="str">
        <x:v>Pequeño material</x:v>
      </x:c>
      <x:c r="D62" s="38" t="str">
        <x:v>Consumible</x:v>
      </x:c>
      <x:c r="E62" s="38" t="str">
        <x:v>Cinta Aluminio 75*45 Metros 40 Micras</x:v>
      </x:c>
      <x:c r="F62" s="38" t="str">
        <x:v>CINTA ALUMINIO 75*45 METROS 40 MICRAS</x:v>
      </x:c>
      <x:c r="G62" s="38" t="str">
        <x:v>CTX40-4575</x:v>
      </x:c>
      <x:c r="H62" s="38" t="str">
        <x:v>Comercial Santana Alemán y González, S.L. (Grupo SAG)</x:v>
      </x:c>
      <x:c r="I62" s="38" t="str">
        <x:v>Albarán NT/26001505</x:v>
      </x:c>
      <x:c r="J62" s="115" t="str">
        <x:v>01/06/2026</x:v>
      </x:c>
      <x:c r="K62" s="38" t="str">
        <x:v>initen</x:v>
      </x:c>
      <x:c r="L62" s="38" t="n">
        <x:v>1</x:v>
      </x:c>
      <x:c r="M62" s="38" t="str">
        <x:v>Rollo</x:v>
      </x:c>
      <x:c r="N62" s="38" t="n">
        <x:v>45</x:v>
      </x:c>
      <x:c r="O62" s="38" t="str">
        <x:v>Metro</x:v>
      </x:c>
      <x:c r="P62" s="99" t="n">
        <x:v>12.41</x:v>
      </x:c>
      <x:c r="Q62" s="114" t="n">
        <x:v>0.4</x:v>
      </x:c>
      <x:c r="R62" s="99" t="n">
        <x:v>7.45</x:v>
      </x:c>
      <x:c r="S62" s="99" t="n">
        <x:f>IFERROR(R62/L62,P62*(1-Q62))</x:f>
        <x:v>7.45</x:v>
      </x:c>
      <x:c r="T62" s="114" t="n">
        <x:v>0.07</x:v>
      </x:c>
      <x:c r="U62" s="99" t="n">
        <x:f>S62*(1+T62)</x:f>
        <x:v>7.971500000000001</x:v>
      </x:c>
      <x:c r="V62" s="99" t="n">
        <x:f>S62</x:f>
        <x:v>7.45</x:v>
      </x:c>
      <x:c r="W62" s="99" t="n">
        <x:f>V62-S62</x:f>
        <x:v>0</x:v>
      </x:c>
      <x:c r="X62" s="114" t="n">
        <x:f>IFERROR(W62/V62,0)</x:f>
        <x:v>0</x:v>
      </x:c>
      <x:c r="Y62" s="38" t="str">
        <x:v>Por rollo o metros proporcionales</x:v>
      </x:c>
      <x:c r="Z62" s="38" t="str">
        <x:f>IF(Y62="Botella / 3 instalaciones","Precio botella / 3",IF(Y62="Por rollo o metros proporcionales","Si se pasa rollo: rollo completo. Si se pasan metros: proporcional",Y62))</x:f>
        <x:v>Si se pasa rollo: rollo completo. Si se pasan metros: proporcional</x:v>
      </x:c>
      <x:c r="AA62" s="38" t="n">
        <x:v>45</x:v>
      </x:c>
      <x:c r="AB62" s="38" t="str">
        <x:v>Sánchez Arencibia, S.A.</x:v>
      </x:c>
      <x:c r="AC62" s="38" t="str">
        <x:v>Media</x:v>
      </x:c>
      <x:c r="AD62" s="116" t="str">
        <x:v>2026-06-30</x:v>
      </x:c>
      <x:c r="AE62" s="38" t="str">
        <x:v>No</x:v>
      </x:c>
      <x:c r="AF62" s="38" t="str">
        <x:v>Comparativa orientativa: revisar ficha/medida antes de decidir proveedor.</x:v>
      </x:c>
    </x:row>
    <x:row r="63">
      <x:c r="A63" s="38" t="str">
        <x:v>MAT-0062</x:v>
      </x:c>
      <x:c r="B63" s="38" t="str">
        <x:v>Sí</x:v>
      </x:c>
      <x:c r="C63" s="38" t="str">
        <x:v>Sin clasificar</x:v>
      </x:c>
      <x:c r="D63" s="38" t="str"/>
      <x:c r="E63" s="38" t="str">
        <x:v>Ventilador Helicocentrifugo Mod. Neolineo-100</x:v>
      </x:c>
      <x:c r="F63" s="38" t="str">
        <x:v>VENTILADOR HELICOCENTRIFUGO MOD. NEOLINEO-100</x:v>
      </x:c>
      <x:c r="G63" s="38" t="str">
        <x:v>1030708</x:v>
      </x:c>
      <x:c r="H63" s="38" t="str">
        <x:v>Comercial Santana Alemán y González, S.L. (Grupo SAG)</x:v>
      </x:c>
      <x:c r="I63" s="38" t="str">
        <x:v>Albarán NT/26001505</x:v>
      </x:c>
      <x:c r="J63" s="115" t="str">
        <x:v>01/06/2026</x:v>
      </x:c>
      <x:c r="K63" s="38" t="str">
        <x:v>initen</x:v>
      </x:c>
      <x:c r="L63" s="38" t="n">
        <x:v>1</x:v>
      </x:c>
      <x:c r="M63" s="38" t="str">
        <x:v>Unidad</x:v>
      </x:c>
      <x:c r="N63" s="38" t="n">
        <x:v>1</x:v>
      </x:c>
      <x:c r="O63" s="38" t="str">
        <x:v>Unidad</x:v>
      </x:c>
      <x:c r="P63" s="99" t="n">
        <x:v>194.25</x:v>
      </x:c>
      <x:c r="Q63" s="114" t="n">
        <x:v>0.4</x:v>
      </x:c>
      <x:c r="R63" s="99" t="n">
        <x:v>116.55</x:v>
      </x:c>
      <x:c r="S63" s="99" t="n">
        <x:f>IFERROR(R63/L63,P63*(1-Q63))</x:f>
        <x:v>116.55</x:v>
      </x:c>
      <x:c r="T63" s="114" t="n">
        <x:v>0.07</x:v>
      </x:c>
      <x:c r="U63" s="99" t="n">
        <x:f>S63*(1+T63)</x:f>
        <x:v>124.7085</x:v>
      </x:c>
      <x:c r="V63" s="99" t="n">
        <x:f>S63</x:f>
        <x:v>116.55</x:v>
      </x:c>
      <x:c r="W63" s="99" t="n">
        <x:f>V63-S63</x:f>
        <x:v>0</x:v>
      </x:c>
      <x:c r="X63" s="114" t="n">
        <x:f>IFERROR(W63/V63,0)</x:f>
        <x:v>0</x:v>
      </x:c>
      <x:c r="Y63" s="38" t="str">
        <x:v>Por unidad</x:v>
      </x:c>
      <x:c r="Z63" s="38" t="str">
        <x:f>IF(Y63="Botella / 3 instalaciones","Precio botella / 3",IF(Y63="Por rollo o metros proporcionales","Si se pasa rollo: rollo completo. Si se pasan metros: proporcional",Y63))</x:f>
        <x:v>Por unidad</x:v>
      </x:c>
      <x:c r="AA63" s="38" t="n">
        <x:v>1</x:v>
      </x:c>
      <x:c r="AB63" s="38" t="str"/>
      <x:c r="AC63" s="38" t="str"/>
      <x:c r="AD63" s="116" t="str">
        <x:v>2026-06-30</x:v>
      </x:c>
      <x:c r="AE63" s="38" t="str">
        <x:v>Sí</x:v>
      </x:c>
      <x:c r="AF63" s="38" t="str">
        <x:v>Revisar categoría antes de usar en cálculo automático.</x:v>
      </x:c>
    </x:row>
    <x:row r="64">
      <x:c r="A64" s="38" t="str">
        <x:v>MAT-0063</x:v>
      </x:c>
      <x:c r="B64" s="38" t="str">
        <x:v>Sí</x:v>
      </x:c>
      <x:c r="C64" s="38" t="str">
        <x:v>Sin clasificar</x:v>
      </x:c>
      <x:c r="D64" s="38" t="str"/>
      <x:c r="E64" s="38" t="str">
        <x:v>Boca Extractora Bce 100 Mm</x:v>
      </x:c>
      <x:c r="F64" s="38" t="str">
        <x:v>BOCA EXTRACTORA BCE 100 MM</x:v>
      </x:c>
      <x:c r="G64" s="38" t="str">
        <x:v>DF-BCE-100</x:v>
      </x:c>
      <x:c r="H64" s="38" t="str">
        <x:v>Comercial Santana Alemán y González, S.L. (Grupo SAG)</x:v>
      </x:c>
      <x:c r="I64" s="38" t="str">
        <x:v>Albarán NT/26001505</x:v>
      </x:c>
      <x:c r="J64" s="115" t="str">
        <x:v>01/06/2026</x:v>
      </x:c>
      <x:c r="K64" s="38" t="str">
        <x:v>initen</x:v>
      </x:c>
      <x:c r="L64" s="38" t="n">
        <x:v>1</x:v>
      </x:c>
      <x:c r="M64" s="38" t="str">
        <x:v>Unidad</x:v>
      </x:c>
      <x:c r="N64" s="38" t="n">
        <x:v>1</x:v>
      </x:c>
      <x:c r="O64" s="38" t="str">
        <x:v>Unidad</x:v>
      </x:c>
      <x:c r="P64" s="99" t="n">
        <x:v>9</x:v>
      </x:c>
      <x:c r="Q64" s="114" t="n">
        <x:v>0.4</x:v>
      </x:c>
      <x:c r="R64" s="99" t="n">
        <x:v>5.4</x:v>
      </x:c>
      <x:c r="S64" s="99" t="n">
        <x:f>IFERROR(R64/L64,P64*(1-Q64))</x:f>
        <x:v>5.4</x:v>
      </x:c>
      <x:c r="T64" s="114" t="n">
        <x:v>0.07</x:v>
      </x:c>
      <x:c r="U64" s="99" t="n">
        <x:f>S64*(1+T64)</x:f>
        <x:v>5.7780000000000005</x:v>
      </x:c>
      <x:c r="V64" s="99" t="n">
        <x:f>S64</x:f>
        <x:v>5.4</x:v>
      </x:c>
      <x:c r="W64" s="99" t="n">
        <x:f>V64-S64</x:f>
        <x:v>0</x:v>
      </x:c>
      <x:c r="X64" s="114" t="n">
        <x:f>IFERROR(W64/V64,0)</x:f>
        <x:v>0</x:v>
      </x:c>
      <x:c r="Y64" s="38" t="str">
        <x:v>Por unidad</x:v>
      </x:c>
      <x:c r="Z64" s="38" t="str">
        <x:f>IF(Y64="Botella / 3 instalaciones","Precio botella / 3",IF(Y64="Por rollo o metros proporcionales","Si se pasa rollo: rollo completo. Si se pasan metros: proporcional",Y64))</x:f>
        <x:v>Por unidad</x:v>
      </x:c>
      <x:c r="AA64" s="38" t="n">
        <x:v>1</x:v>
      </x:c>
      <x:c r="AB64" s="38" t="str"/>
      <x:c r="AC64" s="38" t="str"/>
      <x:c r="AD64" s="116" t="str">
        <x:v>2026-06-30</x:v>
      </x:c>
      <x:c r="AE64" s="38" t="str">
        <x:v>Sí</x:v>
      </x:c>
      <x:c r="AF64" s="38" t="str">
        <x:v>Revisar categoría antes de usar en cálculo automático.</x:v>
      </x:c>
    </x:row>
    <x:row r="65">
      <x:c r="A65" s="38" t="str">
        <x:v>MAT-0064</x:v>
      </x:c>
      <x:c r="B65" s="38" t="str">
        <x:v>Sí</x:v>
      </x:c>
      <x:c r="C65" s="38" t="str">
        <x:v>Sin clasificar</x:v>
      </x:c>
      <x:c r="D65" s="38" t="str"/>
      <x:c r="E65" s="38" t="str">
        <x:v>Multi Exterior 2*1 Tcl Mod Mt1821</x:v>
      </x:c>
      <x:c r="F65" s="38" t="str">
        <x:v>MULTI EXTERIOR 2*1 TCL MOD MT1821</x:v>
      </x:c>
      <x:c r="G65" s="38" t="str">
        <x:v>MT1821</x:v>
      </x:c>
      <x:c r="H65" s="38" t="str">
        <x:v>Comercial Santana Alemán y González, S.L. (Grupo SAG)</x:v>
      </x:c>
      <x:c r="I65" s="38" t="str">
        <x:v>Albarán TF/26002890</x:v>
      </x:c>
      <x:c r="J65" s="115" t="str">
        <x:v>18/06/2026</x:v>
      </x:c>
      <x:c r="K65" s="38" t="str">
        <x:v>BUENAVISTA</x:v>
      </x:c>
      <x:c r="L65" s="38" t="n">
        <x:v>1</x:v>
      </x:c>
      <x:c r="M65" s="38" t="str">
        <x:v>Unidad</x:v>
      </x:c>
      <x:c r="N65" s="38" t="n">
        <x:v>1</x:v>
      </x:c>
      <x:c r="O65" s="38" t="str">
        <x:v>Unidad</x:v>
      </x:c>
      <x:c r="P65" s="99" t="n">
        <x:v>750</x:v>
      </x:c>
      <x:c r="Q65" s="114" t="n">
        <x:v>0.4</x:v>
      </x:c>
      <x:c r="R65" s="99" t="n">
        <x:v>450</x:v>
      </x:c>
      <x:c r="S65" s="99" t="n">
        <x:f>IFERROR(R65/L65,P65*(1-Q65))</x:f>
        <x:v>450</x:v>
      </x:c>
      <x:c r="T65" s="114" t="n">
        <x:v>0.07</x:v>
      </x:c>
      <x:c r="U65" s="99" t="n">
        <x:f>S65*(1+T65)</x:f>
        <x:v>481.5</x:v>
      </x:c>
      <x:c r="V65" s="99" t="n">
        <x:f>S65</x:f>
        <x:v>450</x:v>
      </x:c>
      <x:c r="W65" s="99" t="n">
        <x:f>V65-S65</x:f>
        <x:v>0</x:v>
      </x:c>
      <x:c r="X65" s="114" t="n">
        <x:f>IFERROR(W65/V65,0)</x:f>
        <x:v>0</x:v>
      </x:c>
      <x:c r="Y65" s="38" t="str">
        <x:v>Por unidad</x:v>
      </x:c>
      <x:c r="Z65" s="38" t="str">
        <x:f>IF(Y65="Botella / 3 instalaciones","Precio botella / 3",IF(Y65="Por rollo o metros proporcionales","Si se pasa rollo: rollo completo. Si se pasan metros: proporcional",Y65))</x:f>
        <x:v>Por unidad</x:v>
      </x:c>
      <x:c r="AA65" s="38" t="n">
        <x:v>1</x:v>
      </x:c>
      <x:c r="AB65" s="38" t="str"/>
      <x:c r="AC65" s="38" t="str"/>
      <x:c r="AD65" s="116" t="str">
        <x:v>2026-06-30</x:v>
      </x:c>
      <x:c r="AE65" s="38" t="str">
        <x:v>Sí</x:v>
      </x:c>
      <x:c r="AF65" s="38" t="str">
        <x:v>Revisar categoría antes de usar en cálculo automático.</x:v>
      </x:c>
    </x:row>
    <x:row r="66">
      <x:c r="A66" s="38" t="str">
        <x:v>MAT-0065</x:v>
      </x:c>
      <x:c r="B66" s="38" t="str">
        <x:v>Sí</x:v>
      </x:c>
      <x:c r="C66" s="38" t="str">
        <x:v>Sin clasificar</x:v>
      </x:c>
      <x:c r="D66" s="38" t="str"/>
      <x:c r="E66" s="38" t="str">
        <x:v>Multi Exterior 3*1 Tcl Mod. Mt2730</x:v>
      </x:c>
      <x:c r="F66" s="38" t="str">
        <x:v>MULTI EXTERIOR 3*1 TCL MOD. MT2730</x:v>
      </x:c>
      <x:c r="G66" s="38" t="str">
        <x:v>MT2730</x:v>
      </x:c>
      <x:c r="H66" s="38" t="str">
        <x:v>Comercial Santana Alemán y González, S.L. (Grupo SAG)</x:v>
      </x:c>
      <x:c r="I66" s="38" t="str">
        <x:v>Albarán TF/26002890</x:v>
      </x:c>
      <x:c r="J66" s="115" t="str">
        <x:v>18/06/2026</x:v>
      </x:c>
      <x:c r="K66" s="38" t="str">
        <x:v>BUENAVISTA</x:v>
      </x:c>
      <x:c r="L66" s="38" t="n">
        <x:v>1</x:v>
      </x:c>
      <x:c r="M66" s="38" t="str">
        <x:v>Unidad</x:v>
      </x:c>
      <x:c r="N66" s="38" t="n">
        <x:v>1</x:v>
      </x:c>
      <x:c r="O66" s="38" t="str">
        <x:v>Unidad</x:v>
      </x:c>
      <x:c r="P66" s="99" t="n">
        <x:v>980</x:v>
      </x:c>
      <x:c r="Q66" s="114" t="n">
        <x:v>0.4</x:v>
      </x:c>
      <x:c r="R66" s="99" t="n">
        <x:v>588</x:v>
      </x:c>
      <x:c r="S66" s="99" t="n">
        <x:f>IFERROR(R66/L66,P66*(1-Q66))</x:f>
        <x:v>588</x:v>
      </x:c>
      <x:c r="T66" s="114" t="n">
        <x:v>0.07</x:v>
      </x:c>
      <x:c r="U66" s="99" t="n">
        <x:f>S66*(1+T66)</x:f>
        <x:v>629.1600000000001</x:v>
      </x:c>
      <x:c r="V66" s="99" t="n">
        <x:f>S66</x:f>
        <x:v>588</x:v>
      </x:c>
      <x:c r="W66" s="99" t="n">
        <x:f>V66-S66</x:f>
        <x:v>0</x:v>
      </x:c>
      <x:c r="X66" s="114" t="n">
        <x:f>IFERROR(W66/V66,0)</x:f>
        <x:v>0</x:v>
      </x:c>
      <x:c r="Y66" s="38" t="str">
        <x:v>Por unidad</x:v>
      </x:c>
      <x:c r="Z66" s="38" t="str">
        <x:f>IF(Y66="Botella / 3 instalaciones","Precio botella / 3",IF(Y66="Por rollo o metros proporcionales","Si se pasa rollo: rollo completo. Si se pasan metros: proporcional",Y66))</x:f>
        <x:v>Por unidad</x:v>
      </x:c>
      <x:c r="AA66" s="38" t="n">
        <x:v>1</x:v>
      </x:c>
      <x:c r="AB66" s="38" t="str"/>
      <x:c r="AC66" s="38" t="str"/>
      <x:c r="AD66" s="116" t="str">
        <x:v>2026-06-30</x:v>
      </x:c>
      <x:c r="AE66" s="38" t="str">
        <x:v>Sí</x:v>
      </x:c>
      <x:c r="AF66" s="38" t="str">
        <x:v>Revisar categoría antes de usar en cálculo automático.</x:v>
      </x:c>
    </x:row>
    <x:row r="67">
      <x:c r="A67" s="38" t="str">
        <x:v>MAT-0066</x:v>
      </x:c>
      <x:c r="B67" s="38" t="str">
        <x:v>Sí</x:v>
      </x:c>
      <x:c r="C67" s="38" t="str">
        <x:v>Sin clasificar</x:v>
      </x:c>
      <x:c r="D67" s="38" t="str"/>
      <x:c r="E67" s="38" t="str">
        <x:v>Multi Interior Tcl Wifi Elite Mod. Sn09F2S2</x:v>
      </x:c>
      <x:c r="F67" s="38" t="str">
        <x:v>MULTI INTERIOR TCL WIFI ELITE MOD. SN09F2S2</x:v>
      </x:c>
      <x:c r="G67" s="38" t="str">
        <x:v>SN09F2S2</x:v>
      </x:c>
      <x:c r="H67" s="38" t="str">
        <x:v>Comercial Santana Alemán y González, S.L. (Grupo SAG)</x:v>
      </x:c>
      <x:c r="I67" s="38" t="str">
        <x:v>Albarán TF/26002890</x:v>
      </x:c>
      <x:c r="J67" s="115" t="str">
        <x:v>18/06/2026</x:v>
      </x:c>
      <x:c r="K67" s="38" t="str">
        <x:v>BUENAVISTA</x:v>
      </x:c>
      <x:c r="L67" s="38" t="n">
        <x:v>3</x:v>
      </x:c>
      <x:c r="M67" s="38" t="str">
        <x:v>Unidad</x:v>
      </x:c>
      <x:c r="N67" s="38" t="n">
        <x:v>1</x:v>
      </x:c>
      <x:c r="O67" s="38" t="str">
        <x:v>Unidad</x:v>
      </x:c>
      <x:c r="P67" s="99" t="n">
        <x:v>170</x:v>
      </x:c>
      <x:c r="Q67" s="114" t="n">
        <x:v>0.4</x:v>
      </x:c>
      <x:c r="R67" s="99" t="n">
        <x:v>306</x:v>
      </x:c>
      <x:c r="S67" s="99" t="n">
        <x:f>IFERROR(R67/L67,P67*(1-Q67))</x:f>
        <x:v>102</x:v>
      </x:c>
      <x:c r="T67" s="114" t="n">
        <x:v>0.07</x:v>
      </x:c>
      <x:c r="U67" s="99" t="n">
        <x:f>S67*(1+T67)</x:f>
        <x:v>109.14</x:v>
      </x:c>
      <x:c r="V67" s="99" t="n">
        <x:f>S67</x:f>
        <x:v>102</x:v>
      </x:c>
      <x:c r="W67" s="99" t="n">
        <x:f>V67-S67</x:f>
        <x:v>0</x:v>
      </x:c>
      <x:c r="X67" s="114" t="n">
        <x:f>IFERROR(W67/V67,0)</x:f>
        <x:v>0</x:v>
      </x:c>
      <x:c r="Y67" s="38" t="str">
        <x:v>Por unidad</x:v>
      </x:c>
      <x:c r="Z67" s="38" t="str">
        <x:f>IF(Y67="Botella / 3 instalaciones","Precio botella / 3",IF(Y67="Por rollo o metros proporcionales","Si se pasa rollo: rollo completo. Si se pasan metros: proporcional",Y67))</x:f>
        <x:v>Por unidad</x:v>
      </x:c>
      <x:c r="AA67" s="38" t="n">
        <x:v>1</x:v>
      </x:c>
      <x:c r="AB67" s="38" t="str"/>
      <x:c r="AC67" s="38" t="str"/>
      <x:c r="AD67" s="116" t="str">
        <x:v>2026-06-30</x:v>
      </x:c>
      <x:c r="AE67" s="38" t="str">
        <x:v>Sí</x:v>
      </x:c>
      <x:c r="AF67" s="38" t="str">
        <x:v>Revisar categoría antes de usar en cálculo automático.</x:v>
      </x:c>
    </x:row>
    <x:row r="68">
      <x:c r="A68" s="38" t="str">
        <x:v>MAT-0067</x:v>
      </x:c>
      <x:c r="B68" s="38" t="str">
        <x:v>Sí</x:v>
      </x:c>
      <x:c r="C68" s="38" t="str">
        <x:v>Sin clasificar</x:v>
      </x:c>
      <x:c r="D68" s="38" t="str"/>
      <x:c r="E68" s="38" t="str">
        <x:v>Multi Interior Tcl Wifi Savein Ai Mod. Sn18F5S3</x:v>
      </x:c>
      <x:c r="F68" s="38" t="str">
        <x:v>MULTI INTERIOR TCL WIFI SaveIN AI MOD. SN18F5S3</x:v>
      </x:c>
      <x:c r="G68" s="38" t="str">
        <x:v>SN18F5S3</x:v>
      </x:c>
      <x:c r="H68" s="38" t="str">
        <x:v>Comercial Santana Alemán y González, S.L. (Grupo SAG)</x:v>
      </x:c>
      <x:c r="I68" s="38" t="str">
        <x:v>Albarán TF/26002890</x:v>
      </x:c>
      <x:c r="J68" s="115" t="str">
        <x:v>18/06/2026</x:v>
      </x:c>
      <x:c r="K68" s="38" t="str">
        <x:v>BUENAVISTA</x:v>
      </x:c>
      <x:c r="L68" s="38" t="n">
        <x:v>1</x:v>
      </x:c>
      <x:c r="M68" s="38" t="str">
        <x:v>Unidad</x:v>
      </x:c>
      <x:c r="N68" s="38" t="n">
        <x:v>1</x:v>
      </x:c>
      <x:c r="O68" s="38" t="str">
        <x:v>Unidad</x:v>
      </x:c>
      <x:c r="P68" s="99" t="n">
        <x:v>235</x:v>
      </x:c>
      <x:c r="Q68" s="114" t="n">
        <x:v>0.4</x:v>
      </x:c>
      <x:c r="R68" s="99" t="n">
        <x:v>141</x:v>
      </x:c>
      <x:c r="S68" s="99" t="n">
        <x:f>IFERROR(R68/L68,P68*(1-Q68))</x:f>
        <x:v>141</x:v>
      </x:c>
      <x:c r="T68" s="114" t="n">
        <x:v>0.07</x:v>
      </x:c>
      <x:c r="U68" s="99" t="n">
        <x:f>S68*(1+T68)</x:f>
        <x:v>150.87</x:v>
      </x:c>
      <x:c r="V68" s="99" t="n">
        <x:f>S68</x:f>
        <x:v>141</x:v>
      </x:c>
      <x:c r="W68" s="99" t="n">
        <x:f>V68-S68</x:f>
        <x:v>0</x:v>
      </x:c>
      <x:c r="X68" s="114" t="n">
        <x:f>IFERROR(W68/V68,0)</x:f>
        <x:v>0</x:v>
      </x:c>
      <x:c r="Y68" s="38" t="str">
        <x:v>Por unidad</x:v>
      </x:c>
      <x:c r="Z68" s="38" t="str">
        <x:f>IF(Y68="Botella / 3 instalaciones","Precio botella / 3",IF(Y68="Por rollo o metros proporcionales","Si se pasa rollo: rollo completo. Si se pasan metros: proporcional",Y68))</x:f>
        <x:v>Por unidad</x:v>
      </x:c>
      <x:c r="AA68" s="38" t="n">
        <x:v>1</x:v>
      </x:c>
      <x:c r="AB68" s="38" t="str"/>
      <x:c r="AC68" s="38" t="str"/>
      <x:c r="AD68" s="116" t="str">
        <x:v>2026-06-30</x:v>
      </x:c>
      <x:c r="AE68" s="38" t="str">
        <x:v>Sí</x:v>
      </x:c>
      <x:c r="AF68" s="38" t="str">
        <x:v>Revisar categoría antes de usar en cálculo automático.</x:v>
      </x:c>
    </x:row>
    <x:row r="69">
      <x:c r="A69" s="38" t="str">
        <x:v>MAT-0068</x:v>
      </x:c>
      <x:c r="B69" s="38" t="str">
        <x:v>Sí</x:v>
      </x:c>
      <x:c r="C69" s="38" t="str">
        <x:v>Tubería frigorífica</x:v>
      </x:c>
      <x:c r="D69" s="38" t="str">
        <x:v>Cobre frigorífico aislado</x:v>
      </x:c>
      <x:c r="E69" s="38" t="str">
        <x:v>Ml Canaleta Para Tuberias 60*80 Mm Con Film (2 Metros)</x:v>
      </x:c>
      <x:c r="F69" s="38" t="str">
        <x:v>ML CANALETA PARA TUBERIAS 60*80 MM CON FILM (2 METROS)</x:v>
      </x:c>
      <x:c r="G69" s="38" t="str">
        <x:v>0812BCF</x:v>
      </x:c>
      <x:c r="H69" s="38" t="str">
        <x:v>Comercial Santana Alemán y González, S.L. (Grupo SAG)</x:v>
      </x:c>
      <x:c r="I69" s="38" t="str">
        <x:v>Albarán TF/25003721</x:v>
      </x:c>
      <x:c r="J69" s="115" t="str">
        <x:v>01/08/2025</x:v>
      </x:c>
      <x:c r="K69" s="38" t="str">
        <x:v>NAVE NUEVA CHAFIRAS</x:v>
      </x:c>
      <x:c r="L69" s="38" t="n">
        <x:v>2</x:v>
      </x:c>
      <x:c r="M69" s="38" t="str">
        <x:v>Metro</x:v>
      </x:c>
      <x:c r="N69" s="38" t="n">
        <x:v>1</x:v>
      </x:c>
      <x:c r="O69" s="38" t="str">
        <x:v>Metro</x:v>
      </x:c>
      <x:c r="P69" s="99" t="n">
        <x:v>7.6</x:v>
      </x:c>
      <x:c r="Q69" s="114" t="n">
        <x:v>0.45</x:v>
      </x:c>
      <x:c r="R69" s="99" t="n">
        <x:v>8.36</x:v>
      </x:c>
      <x:c r="S69" s="99" t="n">
        <x:f>IFERROR(R69/L69,P69*(1-Q69))</x:f>
        <x:v>4.18</x:v>
      </x:c>
      <x:c r="T69" s="114" t="n">
        <x:v>0.07</x:v>
      </x:c>
      <x:c r="U69" s="99" t="n">
        <x:f>S69*(1+T69)</x:f>
        <x:v>4.4726</x:v>
      </x:c>
      <x:c r="V69" s="99" t="n">
        <x:f>S69</x:f>
        <x:v>4.18</x:v>
      </x:c>
      <x:c r="W69" s="99" t="n">
        <x:f>V69-S69</x:f>
        <x:v>0</x:v>
      </x:c>
      <x:c r="X69" s="114" t="n">
        <x:f>IFERROR(W69/V69,0)</x:f>
        <x:v>0</x:v>
      </x:c>
      <x:c r="Y69" s="38" t="str">
        <x:v>Por metros</x:v>
      </x:c>
      <x:c r="Z69" s="38" t="str">
        <x:f>IF(Y69="Botella / 3 instalaciones","Precio botella / 3",IF(Y69="Por rollo o metros proporcionales","Si se pasa rollo: rollo completo. Si se pasan metros: proporcional",Y69))</x:f>
        <x:v>Por metros</x:v>
      </x:c>
      <x:c r="AA69" s="38" t="n">
        <x:v>1</x:v>
      </x:c>
      <x:c r="AB69" s="38" t="str"/>
      <x:c r="AC69" s="38" t="str"/>
      <x:c r="AD69" s="116" t="str">
        <x:v>2026-06-30</x:v>
      </x:c>
      <x:c r="AE69" s="38" t="str">
        <x:v>No</x:v>
      </x:c>
      <x:c r="AF69" s="38" t="str"/>
    </x:row>
    <x:row r="70">
      <x:c r="A70" s="38" t="str">
        <x:v>MAT-0069</x:v>
      </x:c>
      <x:c r="B70" s="38" t="str">
        <x:v>Sí</x:v>
      </x:c>
      <x:c r="C70" s="38" t="str">
        <x:v>Sin clasificar</x:v>
      </x:c>
      <x:c r="D70" s="38" t="str"/>
      <x:c r="E70" s="38" t="str">
        <x:v>M2 Panel Aluminio 35 S 60/60 20Mm Espesor De 3000*1200*20 (3.60 M2)</x:v>
      </x:c>
      <x:c r="F70" s="38" t="str">
        <x:v>M2 PANEL ALUMINIO 35 S 60/60 20MM ESPESOR DE 3000*1200*20 (3.60 M2)</x:v>
      </x:c>
      <x:c r="G70" s="38" t="str">
        <x:v>76109090</x:v>
      </x:c>
      <x:c r="H70" s="38" t="str">
        <x:v>Comercial Santana Alemán y González, S.L. (Grupo SAG)</x:v>
      </x:c>
      <x:c r="I70" s="38" t="str">
        <x:v>Factura FM/6290</x:v>
      </x:c>
      <x:c r="J70" s="115" t="str">
        <x:v>31/01/2026</x:v>
      </x:c>
      <x:c r="K70" s="38" t="str">
        <x:v>Albarán NT/26.000.142</x:v>
      </x:c>
      <x:c r="L70" s="38" t="n">
        <x:v>7.2</x:v>
      </x:c>
      <x:c r="M70" s="38" t="str">
        <x:v>m²</x:v>
      </x:c>
      <x:c r="N70" s="38" t="n">
        <x:v>1</x:v>
      </x:c>
      <x:c r="O70" s="38" t="str">
        <x:v>m²</x:v>
      </x:c>
      <x:c r="P70" s="99" t="n">
        <x:v>19</x:v>
      </x:c>
      <x:c r="Q70" s="114" t="n">
        <x:v>0.4</x:v>
      </x:c>
      <x:c r="R70" s="99" t="n">
        <x:v>82.08</x:v>
      </x:c>
      <x:c r="S70" s="99" t="n">
        <x:f>IFERROR(R70/L70,P70*(1-Q70))</x:f>
        <x:v>11.4</x:v>
      </x:c>
      <x:c r="T70" s="114" t="n">
        <x:v>0.07</x:v>
      </x:c>
      <x:c r="U70" s="99" t="n">
        <x:f>S70*(1+T70)</x:f>
        <x:v>12.198</x:v>
      </x:c>
      <x:c r="V70" s="99" t="n">
        <x:f>S70</x:f>
        <x:v>11.4</x:v>
      </x:c>
      <x:c r="W70" s="99" t="n">
        <x:f>V70-S70</x:f>
        <x:v>0</x:v>
      </x:c>
      <x:c r="X70" s="114" t="n">
        <x:f>IFERROR(W70/V70,0)</x:f>
        <x:v>0</x:v>
      </x:c>
      <x:c r="Y70" s="38" t="str">
        <x:v>Por unidad</x:v>
      </x:c>
      <x:c r="Z70" s="38" t="str">
        <x:f>IF(Y70="Botella / 3 instalaciones","Precio botella / 3",IF(Y70="Por rollo o metros proporcionales","Si se pasa rollo: rollo completo. Si se pasan metros: proporcional",Y70))</x:f>
        <x:v>Por unidad</x:v>
      </x:c>
      <x:c r="AA70" s="38" t="n">
        <x:v>1</x:v>
      </x:c>
      <x:c r="AB70" s="38" t="str"/>
      <x:c r="AC70" s="38" t="str"/>
      <x:c r="AD70" s="116" t="str">
        <x:v>2026-06-30</x:v>
      </x:c>
      <x:c r="AE70" s="38" t="str">
        <x:v>Sí</x:v>
      </x:c>
      <x:c r="AF70" s="38" t="str">
        <x:v>Revisar categoría antes de usar en cálculo automático.</x:v>
      </x:c>
    </x:row>
    <x:row r="71">
      <x:c r="A71" s="38" t="str">
        <x:v>MAT-0070</x:v>
      </x:c>
      <x:c r="B71" s="38" t="str">
        <x:v>Sí</x:v>
      </x:c>
      <x:c r="C71" s="38" t="str">
        <x:v>Sin clasificar</x:v>
      </x:c>
      <x:c r="D71" s="38" t="str"/>
      <x:c r="E71" s="38" t="str">
        <x:v>Paletina Doble Domestica Nº24 50Mm</x:v>
      </x:c>
      <x:c r="F71" s="38" t="str">
        <x:v>PALETINA DOBLE DOMESTICA Nº24 50mm</x:v>
      </x:c>
      <x:c r="G71" s="38" t="str">
        <x:v>AL42147</x:v>
      </x:c>
      <x:c r="H71" s="38" t="str">
        <x:v>Comercial Santana Alemán y González, S.L. (Grupo SAG)</x:v>
      </x:c>
      <x:c r="I71" s="38" t="str">
        <x:v>Factura FM/6290</x:v>
      </x:c>
      <x:c r="J71" s="115" t="str">
        <x:v>31/01/2026</x:v>
      </x:c>
      <x:c r="K71" s="38" t="str">
        <x:v>Albarán NT/26.000.143</x:v>
      </x:c>
      <x:c r="L71" s="38" t="n">
        <x:v>1</x:v>
      </x:c>
      <x:c r="M71" s="38" t="str">
        <x:v>Unidad</x:v>
      </x:c>
      <x:c r="N71" s="38" t="n">
        <x:v>1</x:v>
      </x:c>
      <x:c r="O71" s="38" t="str">
        <x:v>Unidad</x:v>
      </x:c>
      <x:c r="P71" s="99" t="n">
        <x:v>1.75</x:v>
      </x:c>
      <x:c r="Q71" s="114" t="n">
        <x:v>0</x:v>
      </x:c>
      <x:c r="R71" s="99" t="n">
        <x:v>1.75</x:v>
      </x:c>
      <x:c r="S71" s="99" t="n">
        <x:f>IFERROR(R71/L71,P71*(1-Q71))</x:f>
        <x:v>1.75</x:v>
      </x:c>
      <x:c r="T71" s="114" t="n">
        <x:v>0.07</x:v>
      </x:c>
      <x:c r="U71" s="99" t="n">
        <x:f>S71*(1+T71)</x:f>
        <x:v>1.8725</x:v>
      </x:c>
      <x:c r="V71" s="99" t="n">
        <x:f>S71</x:f>
        <x:v>1.75</x:v>
      </x:c>
      <x:c r="W71" s="99" t="n">
        <x:f>V71-S71</x:f>
        <x:v>0</x:v>
      </x:c>
      <x:c r="X71" s="114" t="n">
        <x:f>IFERROR(W71/V71,0)</x:f>
        <x:v>0</x:v>
      </x:c>
      <x:c r="Y71" s="38" t="str">
        <x:v>Por unidad</x:v>
      </x:c>
      <x:c r="Z71" s="38" t="str">
        <x:f>IF(Y71="Botella / 3 instalaciones","Precio botella / 3",IF(Y71="Por rollo o metros proporcionales","Si se pasa rollo: rollo completo. Si se pasan metros: proporcional",Y71))</x:f>
        <x:v>Por unidad</x:v>
      </x:c>
      <x:c r="AA71" s="38" t="n">
        <x:v>1</x:v>
      </x:c>
      <x:c r="AB71" s="38" t="str"/>
      <x:c r="AC71" s="38" t="str"/>
      <x:c r="AD71" s="116" t="str">
        <x:v>2026-06-30</x:v>
      </x:c>
      <x:c r="AE71" s="38" t="str">
        <x:v>Sí</x:v>
      </x:c>
      <x:c r="AF71" s="38" t="str">
        <x:v>Revisar categoría antes de usar en cálculo automático.</x:v>
      </x:c>
    </x:row>
    <x:row r="72">
      <x:c r="A72" s="38" t="str">
        <x:v>MAT-0071</x:v>
      </x:c>
      <x:c r="B72" s="38" t="str">
        <x:v>Sí</x:v>
      </x:c>
      <x:c r="C72" s="38" t="str">
        <x:v>Sin clasificar</x:v>
      </x:c>
      <x:c r="D72" s="38" t="str"/>
      <x:c r="E72" s="38" t="str">
        <x:v>Cola Especial Bunitex Mod. P-55 1L</x:v>
      </x:c>
      <x:c r="F72" s="38" t="str">
        <x:v>COLA ESPECIAL BUNITEX MOD. P-55 1L</x:v>
      </x:c>
      <x:c r="G72" s="38" t="str">
        <x:v>32672</x:v>
      </x:c>
      <x:c r="H72" s="38" t="str">
        <x:v>Comercial Santana Alemán y González, S.L. (Grupo SAG)</x:v>
      </x:c>
      <x:c r="I72" s="38" t="str">
        <x:v>Factura FM/6290</x:v>
      </x:c>
      <x:c r="J72" s="115" t="str">
        <x:v>31/01/2026</x:v>
      </x:c>
      <x:c r="K72" s="38" t="str">
        <x:v>Albarán NT/26.000.059</x:v>
      </x:c>
      <x:c r="L72" s="38" t="n">
        <x:v>1</x:v>
      </x:c>
      <x:c r="M72" s="38" t="str">
        <x:v>Unidad</x:v>
      </x:c>
      <x:c r="N72" s="38" t="n">
        <x:v>1</x:v>
      </x:c>
      <x:c r="O72" s="38" t="str">
        <x:v>Unidad</x:v>
      </x:c>
      <x:c r="P72" s="99" t="n">
        <x:v>12.5</x:v>
      </x:c>
      <x:c r="Q72" s="114" t="n">
        <x:v>0.4</x:v>
      </x:c>
      <x:c r="R72" s="99" t="n">
        <x:v>7.5</x:v>
      </x:c>
      <x:c r="S72" s="99" t="n">
        <x:f>IFERROR(R72/L72,P72*(1-Q72))</x:f>
        <x:v>7.5</x:v>
      </x:c>
      <x:c r="T72" s="114" t="n">
        <x:v>0.03</x:v>
      </x:c>
      <x:c r="U72" s="99" t="n">
        <x:f>S72*(1+T72)</x:f>
        <x:v>7.7250000000000005</x:v>
      </x:c>
      <x:c r="V72" s="99" t="n">
        <x:f>S72</x:f>
        <x:v>7.5</x:v>
      </x:c>
      <x:c r="W72" s="99" t="n">
        <x:f>V72-S72</x:f>
        <x:v>0</x:v>
      </x:c>
      <x:c r="X72" s="114" t="n">
        <x:f>IFERROR(W72/V72,0)</x:f>
        <x:v>0</x:v>
      </x:c>
      <x:c r="Y72" s="38" t="str">
        <x:v>Por unidad</x:v>
      </x:c>
      <x:c r="Z72" s="38" t="str">
        <x:f>IF(Y72="Botella / 3 instalaciones","Precio botella / 3",IF(Y72="Por rollo o metros proporcionales","Si se pasa rollo: rollo completo. Si se pasan metros: proporcional",Y72))</x:f>
        <x:v>Por unidad</x:v>
      </x:c>
      <x:c r="AA72" s="38" t="n">
        <x:v>1</x:v>
      </x:c>
      <x:c r="AB72" s="38" t="str"/>
      <x:c r="AC72" s="38" t="str"/>
      <x:c r="AD72" s="116" t="str">
        <x:v>2026-06-30</x:v>
      </x:c>
      <x:c r="AE72" s="38" t="str">
        <x:v>Sí</x:v>
      </x:c>
      <x:c r="AF72" s="38" t="str">
        <x:v>Revisar categoría antes de usar en cálculo automático.</x:v>
      </x:c>
    </x:row>
    <x:row r="73">
      <x:c r="A73" s="38" t="str">
        <x:v>MAT-0072</x:v>
      </x:c>
      <x:c r="B73" s="38" t="str">
        <x:v>Sí</x:v>
      </x:c>
      <x:c r="C73" s="38" t="str">
        <x:v>Sin clasificar</x:v>
      </x:c>
      <x:c r="D73" s="38" t="str"/>
      <x:c r="E73" s="38" t="str">
        <x:v>Paletina Doble Domestica Nº21 45 Mm</x:v>
      </x:c>
      <x:c r="F73" s="38" t="str">
        <x:v>PALETINA DOBLE DOMESTICA Nº21 45 MM</x:v>
      </x:c>
      <x:c r="G73" s="38" t="str">
        <x:v>AL42146</x:v>
      </x:c>
      <x:c r="H73" s="38" t="str">
        <x:v>Comercial Santana Alemán y González, S.L. (Grupo SAG)</x:v>
      </x:c>
      <x:c r="I73" s="38" t="str">
        <x:v>Factura FM/6290</x:v>
      </x:c>
      <x:c r="J73" s="115" t="str">
        <x:v>31/01/2026</x:v>
      </x:c>
      <x:c r="K73" s="38" t="str">
        <x:v>Albarán NT/26.000.059</x:v>
      </x:c>
      <x:c r="L73" s="38" t="n">
        <x:v>1</x:v>
      </x:c>
      <x:c r="M73" s="38" t="str">
        <x:v>Unidad</x:v>
      </x:c>
      <x:c r="N73" s="38" t="n">
        <x:v>1</x:v>
      </x:c>
      <x:c r="O73" s="38" t="str">
        <x:v>Unidad</x:v>
      </x:c>
      <x:c r="P73" s="99" t="n">
        <x:v>1.3</x:v>
      </x:c>
      <x:c r="Q73" s="114" t="n">
        <x:v>0</x:v>
      </x:c>
      <x:c r="R73" s="99" t="n">
        <x:v>1.3</x:v>
      </x:c>
      <x:c r="S73" s="99" t="n">
        <x:f>IFERROR(R73/L73,P73*(1-Q73))</x:f>
        <x:v>1.3</x:v>
      </x:c>
      <x:c r="T73" s="114" t="n">
        <x:v>0.07</x:v>
      </x:c>
      <x:c r="U73" s="99" t="n">
        <x:f>S73*(1+T73)</x:f>
        <x:v>1.3910000000000002</x:v>
      </x:c>
      <x:c r="V73" s="99" t="n">
        <x:f>S73</x:f>
        <x:v>1.3</x:v>
      </x:c>
      <x:c r="W73" s="99" t="n">
        <x:f>V73-S73</x:f>
        <x:v>0</x:v>
      </x:c>
      <x:c r="X73" s="114" t="n">
        <x:f>IFERROR(W73/V73,0)</x:f>
        <x:v>0</x:v>
      </x:c>
      <x:c r="Y73" s="38" t="str">
        <x:v>Por unidad</x:v>
      </x:c>
      <x:c r="Z73" s="38" t="str">
        <x:f>IF(Y73="Botella / 3 instalaciones","Precio botella / 3",IF(Y73="Por rollo o metros proporcionales","Si se pasa rollo: rollo completo. Si se pasan metros: proporcional",Y73))</x:f>
        <x:v>Por unidad</x:v>
      </x:c>
      <x:c r="AA73" s="38" t="n">
        <x:v>1</x:v>
      </x:c>
      <x:c r="AB73" s="38" t="str"/>
      <x:c r="AC73" s="38" t="str"/>
      <x:c r="AD73" s="116" t="str">
        <x:v>2026-06-30</x:v>
      </x:c>
      <x:c r="AE73" s="38" t="str">
        <x:v>Sí</x:v>
      </x:c>
      <x:c r="AF73" s="38" t="str">
        <x:v>Revisar categoría antes de usar en cálculo automático.</x:v>
      </x:c>
    </x:row>
    <x:row r="74">
      <x:c r="A74" s="38" t="str">
        <x:v>MAT-0073</x:v>
      </x:c>
      <x:c r="B74" s="38" t="str">
        <x:v>Sí</x:v>
      </x:c>
      <x:c r="C74" s="38" t="str">
        <x:v>Sin clasificar</x:v>
      </x:c>
      <x:c r="D74" s="38" t="str"/>
      <x:c r="E74" s="38" t="str">
        <x:v>Angulo Plano 60*80 Mm</x:v>
      </x:c>
      <x:c r="F74" s="38" t="str">
        <x:v>ANGULO PLANO 60*80 MM</x:v>
      </x:c>
      <x:c r="G74" s="38" t="str">
        <x:v>0807CP</x:v>
      </x:c>
      <x:c r="H74" s="38" t="str">
        <x:v>Comercial Santana Alemán y González, S.L. (Grupo SAG)</x:v>
      </x:c>
      <x:c r="I74" s="38" t="str">
        <x:v>Factura FM/6452</x:v>
      </x:c>
      <x:c r="J74" s="115" t="str">
        <x:v>28/02/2026</x:v>
      </x:c>
      <x:c r="K74" s="38" t="str">
        <x:v>Albarán TF/26.000.526</x:v>
      </x:c>
      <x:c r="L74" s="38" t="n">
        <x:v>2</x:v>
      </x:c>
      <x:c r="M74" s="38" t="str">
        <x:v>Unidad</x:v>
      </x:c>
      <x:c r="N74" s="38" t="n">
        <x:v>1</x:v>
      </x:c>
      <x:c r="O74" s="38" t="str">
        <x:v>Unidad</x:v>
      </x:c>
      <x:c r="P74" s="99" t="n">
        <x:v>5.8</x:v>
      </x:c>
      <x:c r="Q74" s="114" t="n">
        <x:v>0.45</x:v>
      </x:c>
      <x:c r="R74" s="99" t="n">
        <x:v>6.38</x:v>
      </x:c>
      <x:c r="S74" s="99" t="n">
        <x:f>IFERROR(R74/L74,P74*(1-Q74))</x:f>
        <x:v>3.19</x:v>
      </x:c>
      <x:c r="T74" s="114" t="n">
        <x:v>0.07</x:v>
      </x:c>
      <x:c r="U74" s="99" t="n">
        <x:f>S74*(1+T74)</x:f>
        <x:v>3.4133</x:v>
      </x:c>
      <x:c r="V74" s="99" t="n">
        <x:f>S74</x:f>
        <x:v>3.19</x:v>
      </x:c>
      <x:c r="W74" s="99" t="n">
        <x:f>V74-S74</x:f>
        <x:v>0</x:v>
      </x:c>
      <x:c r="X74" s="114" t="n">
        <x:f>IFERROR(W74/V74,0)</x:f>
        <x:v>0</x:v>
      </x:c>
      <x:c r="Y74" s="38" t="str">
        <x:v>Por unidad</x:v>
      </x:c>
      <x:c r="Z74" s="38" t="str">
        <x:f>IF(Y74="Botella / 3 instalaciones","Precio botella / 3",IF(Y74="Por rollo o metros proporcionales","Si se pasa rollo: rollo completo. Si se pasan metros: proporcional",Y74))</x:f>
        <x:v>Por unidad</x:v>
      </x:c>
      <x:c r="AA74" s="38" t="n">
        <x:v>1</x:v>
      </x:c>
      <x:c r="AB74" s="38" t="str"/>
      <x:c r="AC74" s="38" t="str"/>
      <x:c r="AD74" s="116" t="str">
        <x:v>2026-06-30</x:v>
      </x:c>
      <x:c r="AE74" s="38" t="str">
        <x:v>Sí</x:v>
      </x:c>
      <x:c r="AF74" s="38" t="str">
        <x:v>Revisar categoría antes de usar en cálculo automático.</x:v>
      </x:c>
    </x:row>
    <x:row r="75">
      <x:c r="A75" s="38" t="str">
        <x:v>MAT-0074</x:v>
      </x:c>
      <x:c r="B75" s="38" t="str">
        <x:v>Sí</x:v>
      </x:c>
      <x:c r="C75" s="38" t="str">
        <x:v>Sin clasificar</x:v>
      </x:c>
      <x:c r="D75" s="38" t="str"/>
      <x:c r="E75" s="38" t="str">
        <x:v>Conjunto Tcl Wifi Elite Mod. S18F2S1</x:v>
      </x:c>
      <x:c r="F75" s="38" t="str">
        <x:v>CONJUNTO TCL WIFI ELITE MOD. S18F2S1</x:v>
      </x:c>
      <x:c r="G75" s="38" t="str">
        <x:v>S18F2S1</x:v>
      </x:c>
      <x:c r="H75" s="38" t="str">
        <x:v>Comercial Santana Alemán y González, S.L. (Grupo SAG)</x:v>
      </x:c>
      <x:c r="I75" s="38" t="str">
        <x:v>Factura FM/6452</x:v>
      </x:c>
      <x:c r="J75" s="115" t="str">
        <x:v>28/02/2026</x:v>
      </x:c>
      <x:c r="K75" s="38" t="str">
        <x:v>Albarán NT/26.000.311</x:v>
      </x:c>
      <x:c r="L75" s="38" t="n">
        <x:v>1</x:v>
      </x:c>
      <x:c r="M75" s="38" t="str">
        <x:v>Unidad</x:v>
      </x:c>
      <x:c r="N75" s="38" t="n">
        <x:v>1</x:v>
      </x:c>
      <x:c r="O75" s="38" t="str">
        <x:v>Unidad</x:v>
      </x:c>
      <x:c r="P75" s="99" t="n">
        <x:v>485</x:v>
      </x:c>
      <x:c r="Q75" s="114" t="n">
        <x:v>0</x:v>
      </x:c>
      <x:c r="R75" s="99" t="n">
        <x:v>485</x:v>
      </x:c>
      <x:c r="S75" s="99" t="n">
        <x:f>IFERROR(R75/L75,P75*(1-Q75))</x:f>
        <x:v>485</x:v>
      </x:c>
      <x:c r="T75" s="114" t="n">
        <x:v>0.07</x:v>
      </x:c>
      <x:c r="U75" s="99" t="n">
        <x:f>S75*(1+T75)</x:f>
        <x:v>518.95</x:v>
      </x:c>
      <x:c r="V75" s="99" t="n">
        <x:f>S75</x:f>
        <x:v>485</x:v>
      </x:c>
      <x:c r="W75" s="99" t="n">
        <x:f>V75-S75</x:f>
        <x:v>0</x:v>
      </x:c>
      <x:c r="X75" s="114" t="n">
        <x:f>IFERROR(W75/V75,0)</x:f>
        <x:v>0</x:v>
      </x:c>
      <x:c r="Y75" s="38" t="str">
        <x:v>Por unidad</x:v>
      </x:c>
      <x:c r="Z75" s="38" t="str">
        <x:f>IF(Y75="Botella / 3 instalaciones","Precio botella / 3",IF(Y75="Por rollo o metros proporcionales","Si se pasa rollo: rollo completo. Si se pasan metros: proporcional",Y75))</x:f>
        <x:v>Por unidad</x:v>
      </x:c>
      <x:c r="AA75" s="38" t="n">
        <x:v>1</x:v>
      </x:c>
      <x:c r="AB75" s="38" t="str"/>
      <x:c r="AC75" s="38" t="str"/>
      <x:c r="AD75" s="116" t="str">
        <x:v>2026-06-30</x:v>
      </x:c>
      <x:c r="AE75" s="38" t="str">
        <x:v>Sí</x:v>
      </x:c>
      <x:c r="AF75" s="38" t="str">
        <x:v>Revisar categoría antes de usar en cálculo automático.</x:v>
      </x:c>
    </x:row>
    <x:row r="76">
      <x:c r="A76" s="38" t="str">
        <x:v>MAT-0075</x:v>
      </x:c>
      <x:c r="B76" s="38" t="str">
        <x:v>Sí</x:v>
      </x:c>
      <x:c r="C76" s="38" t="str">
        <x:v>Tubería frigorífica</x:v>
      </x:c>
      <x:c r="D76" s="38" t="str">
        <x:v>Cobre frigorífico aislado</x:v>
      </x:c>
      <x:c r="E76" s="38" t="str">
        <x:v>Ml Canaleta Para Tuberias 60*80 Mm Con Film (2 Metros)</x:v>
      </x:c>
      <x:c r="F76" s="38" t="str">
        <x:v>ML CANALETA PARA TUBERIAS 60*80 MM CON FILM (2 METROS)</x:v>
      </x:c>
      <x:c r="G76" s="38" t="str">
        <x:v>0812BCF</x:v>
      </x:c>
      <x:c r="H76" s="38" t="str">
        <x:v>Comercial Santana Alemán y González, S.L. (Grupo SAG)</x:v>
      </x:c>
      <x:c r="I76" s="38" t="str">
        <x:v>Factura FM/6452</x:v>
      </x:c>
      <x:c r="J76" s="115" t="str">
        <x:v>28/02/2026</x:v>
      </x:c>
      <x:c r="K76" s="38" t="str">
        <x:v>Albarán NT/26.000.311</x:v>
      </x:c>
      <x:c r="L76" s="38" t="n">
        <x:v>16</x:v>
      </x:c>
      <x:c r="M76" s="38" t="str">
        <x:v>Metro</x:v>
      </x:c>
      <x:c r="N76" s="38" t="n">
        <x:v>1</x:v>
      </x:c>
      <x:c r="O76" s="38" t="str">
        <x:v>Metro</x:v>
      </x:c>
      <x:c r="P76" s="99" t="n">
        <x:v>7.6</x:v>
      </x:c>
      <x:c r="Q76" s="114" t="n">
        <x:v>0.45</x:v>
      </x:c>
      <x:c r="R76" s="99" t="n">
        <x:v>66.88</x:v>
      </x:c>
      <x:c r="S76" s="99" t="n">
        <x:f>IFERROR(R76/L76,P76*(1-Q76))</x:f>
        <x:v>4.18</x:v>
      </x:c>
      <x:c r="T76" s="114" t="n">
        <x:v>0.07</x:v>
      </x:c>
      <x:c r="U76" s="99" t="n">
        <x:f>S76*(1+T76)</x:f>
        <x:v>4.4726</x:v>
      </x:c>
      <x:c r="V76" s="99" t="n">
        <x:f>S76</x:f>
        <x:v>4.18</x:v>
      </x:c>
      <x:c r="W76" s="99" t="n">
        <x:f>V76-S76</x:f>
        <x:v>0</x:v>
      </x:c>
      <x:c r="X76" s="114" t="n">
        <x:f>IFERROR(W76/V76,0)</x:f>
        <x:v>0</x:v>
      </x:c>
      <x:c r="Y76" s="38" t="str">
        <x:v>Por metros</x:v>
      </x:c>
      <x:c r="Z76" s="38" t="str">
        <x:f>IF(Y76="Botella / 3 instalaciones","Precio botella / 3",IF(Y76="Por rollo o metros proporcionales","Si se pasa rollo: rollo completo. Si se pasan metros: proporcional",Y76))</x:f>
        <x:v>Por metros</x:v>
      </x:c>
      <x:c r="AA76" s="38" t="n">
        <x:v>1</x:v>
      </x:c>
      <x:c r="AB76" s="38" t="str"/>
      <x:c r="AC76" s="38" t="str"/>
      <x:c r="AD76" s="116" t="str">
        <x:v>2026-06-30</x:v>
      </x:c>
      <x:c r="AE76" s="38" t="str">
        <x:v>No</x:v>
      </x:c>
      <x:c r="AF76" s="38" t="str"/>
    </x:row>
    <x:row r="77">
      <x:c r="A77" s="38" t="str">
        <x:v>MAT-0076</x:v>
      </x:c>
      <x:c r="B77" s="38" t="str">
        <x:v>Sí</x:v>
      </x:c>
      <x:c r="C77" s="38" t="str">
        <x:v>Sin clasificar</x:v>
      </x:c>
      <x:c r="D77" s="38" t="str"/>
      <x:c r="E77" s="38" t="str">
        <x:v>Angulo Exterior 60*80 Mm</x:v>
      </x:c>
      <x:c r="F77" s="38" t="str">
        <x:v>ANGULO EXTERIOR 60*80 MM</x:v>
      </x:c>
      <x:c r="G77" s="38" t="str">
        <x:v>0806AE</x:v>
      </x:c>
      <x:c r="H77" s="38" t="str">
        <x:v>Comercial Santana Alemán y González, S.L. (Grupo SAG)</x:v>
      </x:c>
      <x:c r="I77" s="38" t="str">
        <x:v>Factura FM/6452</x:v>
      </x:c>
      <x:c r="J77" s="115" t="str">
        <x:v>28/02/2026</x:v>
      </x:c>
      <x:c r="K77" s="38" t="str">
        <x:v>Albarán NT/26.000.355 (Devolución)</x:v>
      </x:c>
      <x:c r="L77" s="38" t="n">
        <x:v>-1</x:v>
      </x:c>
      <x:c r="M77" s="38" t="str">
        <x:v>Unidad</x:v>
      </x:c>
      <x:c r="N77" s="38" t="n">
        <x:v>1</x:v>
      </x:c>
      <x:c r="O77" s="38" t="str">
        <x:v>Unidad</x:v>
      </x:c>
      <x:c r="P77" s="99" t="n">
        <x:v>4.2</x:v>
      </x:c>
      <x:c r="Q77" s="114" t="n">
        <x:v>0.45</x:v>
      </x:c>
      <x:c r="R77" s="99" t="n">
        <x:v>-2.31</x:v>
      </x:c>
      <x:c r="S77" s="99" t="n">
        <x:f>IFERROR(R77/L77,P77*(1-Q77))</x:f>
        <x:v>2.31</x:v>
      </x:c>
      <x:c r="T77" s="114" t="n">
        <x:v>0.07</x:v>
      </x:c>
      <x:c r="U77" s="99" t="n">
        <x:f>S77*(1+T77)</x:f>
        <x:v>2.4717000000000002</x:v>
      </x:c>
      <x:c r="V77" s="99" t="n">
        <x:f>S77</x:f>
        <x:v>2.31</x:v>
      </x:c>
      <x:c r="W77" s="99" t="n">
        <x:f>V77-S77</x:f>
        <x:v>0</x:v>
      </x:c>
      <x:c r="X77" s="114" t="n">
        <x:f>IFERROR(W77/V77,0)</x:f>
        <x:v>0</x:v>
      </x:c>
      <x:c r="Y77" s="38" t="str">
        <x:v>Por unidad</x:v>
      </x:c>
      <x:c r="Z77" s="38" t="str">
        <x:f>IF(Y77="Botella / 3 instalaciones","Precio botella / 3",IF(Y77="Por rollo o metros proporcionales","Si se pasa rollo: rollo completo. Si se pasan metros: proporcional",Y77))</x:f>
        <x:v>Por unidad</x:v>
      </x:c>
      <x:c r="AA77" s="38" t="n">
        <x:v>1</x:v>
      </x:c>
      <x:c r="AB77" s="38" t="str"/>
      <x:c r="AC77" s="38" t="str"/>
      <x:c r="AD77" s="116" t="str">
        <x:v>2026-06-30</x:v>
      </x:c>
      <x:c r="AE77" s="38" t="str">
        <x:v>Sí</x:v>
      </x:c>
      <x:c r="AF77" s="38" t="str">
        <x:v>Revisar categoría antes de usar en cálculo automático.</x:v>
      </x:c>
    </x:row>
    <x:row r="78">
      <x:c r="A78" s="38" t="str">
        <x:v>MAT-0077</x:v>
      </x:c>
      <x:c r="B78" s="38" t="str">
        <x:v>Sí</x:v>
      </x:c>
      <x:c r="C78" s="38" t="str">
        <x:v>Sin clasificar</x:v>
      </x:c>
      <x:c r="D78" s="38" t="str"/>
      <x:c r="E78" s="38" t="str">
        <x:v>Curva A Muro Cm 60*80 Mm</x:v>
      </x:c>
      <x:c r="F78" s="38" t="str">
        <x:v>CURVA A MURO CM 60*80 MM</x:v>
      </x:c>
      <x:c r="G78" s="38" t="str">
        <x:v>0809CM</x:v>
      </x:c>
      <x:c r="H78" s="38" t="str">
        <x:v>Comercial Santana Alemán y González, S.L. (Grupo SAG)</x:v>
      </x:c>
      <x:c r="I78" s="38" t="str">
        <x:v>Factura FM/6452</x:v>
      </x:c>
      <x:c r="J78" s="115" t="str">
        <x:v>28/02/2026</x:v>
      </x:c>
      <x:c r="K78" s="38" t="str">
        <x:v>Albarán NT/26.000.355 (Devolución)</x:v>
      </x:c>
      <x:c r="L78" s="38" t="n">
        <x:v>-1</x:v>
      </x:c>
      <x:c r="M78" s="38" t="str">
        <x:v>Unidad</x:v>
      </x:c>
      <x:c r="N78" s="38" t="n">
        <x:v>1</x:v>
      </x:c>
      <x:c r="O78" s="38" t="str">
        <x:v>Unidad</x:v>
      </x:c>
      <x:c r="P78" s="99" t="n">
        <x:v>6.73</x:v>
      </x:c>
      <x:c r="Q78" s="114" t="n">
        <x:v>0.45</x:v>
      </x:c>
      <x:c r="R78" s="99" t="n">
        <x:v>-3.7</x:v>
      </x:c>
      <x:c r="S78" s="99" t="n">
        <x:f>IFERROR(R78/L78,P78*(1-Q78))</x:f>
        <x:v>3.7</x:v>
      </x:c>
      <x:c r="T78" s="114" t="n">
        <x:v>0.07</x:v>
      </x:c>
      <x:c r="U78" s="99" t="n">
        <x:f>S78*(1+T78)</x:f>
        <x:v>3.9590000000000005</x:v>
      </x:c>
      <x:c r="V78" s="99" t="n">
        <x:f>S78</x:f>
        <x:v>3.7</x:v>
      </x:c>
      <x:c r="W78" s="99" t="n">
        <x:f>V78-S78</x:f>
        <x:v>0</x:v>
      </x:c>
      <x:c r="X78" s="114" t="n">
        <x:f>IFERROR(W78/V78,0)</x:f>
        <x:v>0</x:v>
      </x:c>
      <x:c r="Y78" s="38" t="str">
        <x:v>Por unidad</x:v>
      </x:c>
      <x:c r="Z78" s="38" t="str">
        <x:f>IF(Y78="Botella / 3 instalaciones","Precio botella / 3",IF(Y78="Por rollo o metros proporcionales","Si se pasa rollo: rollo completo. Si se pasan metros: proporcional",Y78))</x:f>
        <x:v>Por unidad</x:v>
      </x:c>
      <x:c r="AA78" s="38" t="n">
        <x:v>1</x:v>
      </x:c>
      <x:c r="AB78" s="38" t="str"/>
      <x:c r="AC78" s="38" t="str"/>
      <x:c r="AD78" s="116" t="str">
        <x:v>2026-06-30</x:v>
      </x:c>
      <x:c r="AE78" s="38" t="str">
        <x:v>Sí</x:v>
      </x:c>
      <x:c r="AF78" s="38" t="str">
        <x:v>Revisar categoría antes de usar en cálculo automático.</x:v>
      </x:c>
    </x:row>
    <x:row r="79">
      <x:c r="A79" s="38" t="str">
        <x:v>MAT-0078</x:v>
      </x:c>
      <x:c r="B79" s="38" t="str">
        <x:v>Sí</x:v>
      </x:c>
      <x:c r="C79" s="38" t="str">
        <x:v>Tubería frigorífica</x:v>
      </x:c>
      <x:c r="D79" s="38" t="str">
        <x:v>Cobre frigorífico aislado</x:v>
      </x:c>
      <x:c r="E79" s="38" t="str">
        <x:v>Ml Canaleta Para Tuberias 60*80 Mm Con Film (2 Metros)</x:v>
      </x:c>
      <x:c r="F79" s="38" t="str">
        <x:v>ML CANALETA PARA TUBERIAS 60*80 MM CON FILM (2 METROS)</x:v>
      </x:c>
      <x:c r="G79" s="38" t="str">
        <x:v>0812BCF</x:v>
      </x:c>
      <x:c r="H79" s="38" t="str">
        <x:v>Comercial Santana Alemán y González, S.L. (Grupo SAG)</x:v>
      </x:c>
      <x:c r="I79" s="38" t="str">
        <x:v>Factura FM/6452</x:v>
      </x:c>
      <x:c r="J79" s="115" t="str">
        <x:v>28/02/2026</x:v>
      </x:c>
      <x:c r="K79" s="38" t="str">
        <x:v>Albarán NT/26.000.355 (Devolución)</x:v>
      </x:c>
      <x:c r="L79" s="38" t="n">
        <x:v>-4</x:v>
      </x:c>
      <x:c r="M79" s="38" t="str">
        <x:v>Metro</x:v>
      </x:c>
      <x:c r="N79" s="38" t="n">
        <x:v>1</x:v>
      </x:c>
      <x:c r="O79" s="38" t="str">
        <x:v>Metro</x:v>
      </x:c>
      <x:c r="P79" s="99" t="n">
        <x:v>7.6</x:v>
      </x:c>
      <x:c r="Q79" s="114" t="n">
        <x:v>0.45</x:v>
      </x:c>
      <x:c r="R79" s="99" t="n">
        <x:v>-16.72</x:v>
      </x:c>
      <x:c r="S79" s="99" t="n">
        <x:f>IFERROR(R79/L79,P79*(1-Q79))</x:f>
        <x:v>4.18</x:v>
      </x:c>
      <x:c r="T79" s="114" t="n">
        <x:v>0.07</x:v>
      </x:c>
      <x:c r="U79" s="99" t="n">
        <x:f>S79*(1+T79)</x:f>
        <x:v>4.4726</x:v>
      </x:c>
      <x:c r="V79" s="99" t="n">
        <x:f>S79</x:f>
        <x:v>4.18</x:v>
      </x:c>
      <x:c r="W79" s="99" t="n">
        <x:f>V79-S79</x:f>
        <x:v>0</x:v>
      </x:c>
      <x:c r="X79" s="114" t="n">
        <x:f>IFERROR(W79/V79,0)</x:f>
        <x:v>0</x:v>
      </x:c>
      <x:c r="Y79" s="38" t="str">
        <x:v>Por metros</x:v>
      </x:c>
      <x:c r="Z79" s="38" t="str">
        <x:f>IF(Y79="Botella / 3 instalaciones","Precio botella / 3",IF(Y79="Por rollo o metros proporcionales","Si se pasa rollo: rollo completo. Si se pasan metros: proporcional",Y79))</x:f>
        <x:v>Por metros</x:v>
      </x:c>
      <x:c r="AA79" s="38" t="n">
        <x:v>1</x:v>
      </x:c>
      <x:c r="AB79" s="38" t="str"/>
      <x:c r="AC79" s="38" t="str"/>
      <x:c r="AD79" s="116" t="str">
        <x:v>2026-06-30</x:v>
      </x:c>
      <x:c r="AE79" s="38" t="str">
        <x:v>No</x:v>
      </x:c>
      <x:c r="AF79" s="38" t="str"/>
    </x:row>
    <x:row r="80">
      <x:c r="A80" s="38" t="str">
        <x:v>MAT-0079</x:v>
      </x:c>
      <x:c r="B80" s="38" t="str">
        <x:v>Sí</x:v>
      </x:c>
      <x:c r="C80" s="38" t="str">
        <x:v>Sin clasificar</x:v>
      </x:c>
      <x:c r="D80" s="38" t="str"/>
      <x:c r="E80" s="38" t="str">
        <x:v>Ml Tubo Helicoidal Galva Marca Sag De 100 Mm (3 Metros)</x:v>
      </x:c>
      <x:c r="F80" s="38" t="str">
        <x:v>ML TUBO HELICOIDAL GALVA MARCA SAG DE 100 MM (3 METROS)</x:v>
      </x:c>
      <x:c r="G80" s="38" t="str">
        <x:v>CG-THG-0100</x:v>
      </x:c>
      <x:c r="H80" s="38" t="str">
        <x:v>Comercial Santana Alemán y González, S.L. (Grupo SAG)</x:v>
      </x:c>
      <x:c r="I80" s="38" t="str">
        <x:v>Factura FM/6452</x:v>
      </x:c>
      <x:c r="J80" s="115" t="str">
        <x:v>28/02/2026</x:v>
      </x:c>
      <x:c r="K80" s="38" t="str">
        <x:v>Albarán NT/26.000.355 (Devolución)</x:v>
      </x:c>
      <x:c r="L80" s="38" t="n">
        <x:v>-3</x:v>
      </x:c>
      <x:c r="M80" s="38" t="str">
        <x:v>Unidad</x:v>
      </x:c>
      <x:c r="N80" s="38" t="n">
        <x:v>1</x:v>
      </x:c>
      <x:c r="O80" s="38" t="str">
        <x:v>Unidad</x:v>
      </x:c>
      <x:c r="P80" s="99" t="n">
        <x:v>8.9</x:v>
      </x:c>
      <x:c r="Q80" s="114" t="n">
        <x:v>0.5</x:v>
      </x:c>
      <x:c r="R80" s="99" t="n">
        <x:v>-13.35</x:v>
      </x:c>
      <x:c r="S80" s="99" t="n">
        <x:f>IFERROR(R80/L80,P80*(1-Q80))</x:f>
        <x:v>4.45</x:v>
      </x:c>
      <x:c r="T80" s="114" t="n">
        <x:v>0.07</x:v>
      </x:c>
      <x:c r="U80" s="99" t="n">
        <x:f>S80*(1+T80)</x:f>
        <x:v>4.761500000000001</x:v>
      </x:c>
      <x:c r="V80" s="99" t="n">
        <x:f>S80</x:f>
        <x:v>4.45</x:v>
      </x:c>
      <x:c r="W80" s="99" t="n">
        <x:f>V80-S80</x:f>
        <x:v>0</x:v>
      </x:c>
      <x:c r="X80" s="114" t="n">
        <x:f>IFERROR(W80/V80,0)</x:f>
        <x:v>0</x:v>
      </x:c>
      <x:c r="Y80" s="38" t="str">
        <x:v>Por unidad</x:v>
      </x:c>
      <x:c r="Z80" s="38" t="str">
        <x:f>IF(Y80="Botella / 3 instalaciones","Precio botella / 3",IF(Y80="Por rollo o metros proporcionales","Si se pasa rollo: rollo completo. Si se pasan metros: proporcional",Y80))</x:f>
        <x:v>Por unidad</x:v>
      </x:c>
      <x:c r="AA80" s="38" t="n">
        <x:v>1</x:v>
      </x:c>
      <x:c r="AB80" s="38" t="str"/>
      <x:c r="AC80" s="38" t="str"/>
      <x:c r="AD80" s="116" t="str">
        <x:v>2026-06-30</x:v>
      </x:c>
      <x:c r="AE80" s="38" t="str">
        <x:v>Sí</x:v>
      </x:c>
      <x:c r="AF80" s="38" t="str">
        <x:v>Revisar categoría antes de usar en cálculo automático.</x:v>
      </x:c>
    </x:row>
    <x:row r="81">
      <x:c r="A81" s="38" t="str">
        <x:v>MAT-0080</x:v>
      </x:c>
      <x:c r="B81" s="38" t="str">
        <x:v>Sí</x:v>
      </x:c>
      <x:c r="C81" s="38" t="str">
        <x:v>Sin clasificar</x:v>
      </x:c>
      <x:c r="D81" s="38" t="str"/>
      <x:c r="E81" s="38" t="str">
        <x:v>Unidad Ventilacion 400ºc/2H Exterior Cjtx-C-10/10-2 (5300 M3H)</x:v>
      </x:c>
      <x:c r="F81" s="38" t="str">
        <x:v>UNIDAD VENTILACION 400ºC/2H EXTERIOR CJTX-C-10/10-2 (5300 M3H)</x:v>
      </x:c>
      <x:c r="G81" s="38" t="str">
        <x:v>1028025</x:v>
      </x:c>
      <x:c r="H81" s="38" t="str">
        <x:v>Comercial Santana Alemán y González, S.L. (Grupo SAG)</x:v>
      </x:c>
      <x:c r="I81" s="38" t="str">
        <x:v>Factura FM/6452</x:v>
      </x:c>
      <x:c r="J81" s="115" t="str">
        <x:v>28/02/2026</x:v>
      </x:c>
      <x:c r="K81" s="38" t="str">
        <x:v>Albarán NT/26.000.337</x:v>
      </x:c>
      <x:c r="L81" s="38" t="n">
        <x:v>1</x:v>
      </x:c>
      <x:c r="M81" s="38" t="str">
        <x:v>Unidad</x:v>
      </x:c>
      <x:c r="N81" s="38" t="n">
        <x:v>1</x:v>
      </x:c>
      <x:c r="O81" s="38" t="str">
        <x:v>Unidad</x:v>
      </x:c>
      <x:c r="P81" s="99" t="n">
        <x:v>2266.3</x:v>
      </x:c>
      <x:c r="Q81" s="114" t="n">
        <x:v>0.5</x:v>
      </x:c>
      <x:c r="R81" s="99" t="n">
        <x:v>1133.15</x:v>
      </x:c>
      <x:c r="S81" s="99" t="n">
        <x:f>IFERROR(R81/L81,P81*(1-Q81))</x:f>
        <x:v>1133.15</x:v>
      </x:c>
      <x:c r="T81" s="114" t="n">
        <x:v>0.07</x:v>
      </x:c>
      <x:c r="U81" s="99" t="n">
        <x:f>S81*(1+T81)</x:f>
        <x:v>1212.4705000000001</x:v>
      </x:c>
      <x:c r="V81" s="99" t="n">
        <x:f>S81</x:f>
        <x:v>1133.15</x:v>
      </x:c>
      <x:c r="W81" s="99" t="n">
        <x:f>V81-S81</x:f>
        <x:v>0</x:v>
      </x:c>
      <x:c r="X81" s="114" t="n">
        <x:f>IFERROR(W81/V81,0)</x:f>
        <x:v>0</x:v>
      </x:c>
      <x:c r="Y81" s="38" t="str">
        <x:v>Por unidad</x:v>
      </x:c>
      <x:c r="Z81" s="38" t="str">
        <x:f>IF(Y81="Botella / 3 instalaciones","Precio botella / 3",IF(Y81="Por rollo o metros proporcionales","Si se pasa rollo: rollo completo. Si se pasan metros: proporcional",Y81))</x:f>
        <x:v>Por unidad</x:v>
      </x:c>
      <x:c r="AA81" s="38" t="n">
        <x:v>1</x:v>
      </x:c>
      <x:c r="AB81" s="38" t="str"/>
      <x:c r="AC81" s="38" t="str"/>
      <x:c r="AD81" s="116" t="str">
        <x:v>2026-06-30</x:v>
      </x:c>
      <x:c r="AE81" s="38" t="str">
        <x:v>Sí</x:v>
      </x:c>
      <x:c r="AF81" s="38" t="str">
        <x:v>Revisar categoría antes de usar en cálculo automático.</x:v>
      </x:c>
    </x:row>
    <x:row r="82">
      <x:c r="A82" s="38" t="str">
        <x:v>MAT-0081</x:v>
      </x:c>
      <x:c r="B82" s="38" t="str">
        <x:v>Sí</x:v>
      </x:c>
      <x:c r="C82" s="38" t="str">
        <x:v>Sin clasificar</x:v>
      </x:c>
      <x:c r="D82" s="38" t="str"/>
      <x:c r="E82" s="38" t="str">
        <x:v>Tapa Aspiracion 12/12 (610*560 Mm)</x:v>
      </x:c>
      <x:c r="F82" s="38" t="str">
        <x:v>TAPA ASPIRACION 12/12 (610*560 MM)</x:v>
      </x:c>
      <x:c r="G82" s="38" t="str">
        <x:v>TAPA-12/12</x:v>
      </x:c>
      <x:c r="H82" s="38" t="str">
        <x:v>Comercial Santana Alemán y González, S.L. (Grupo SAG)</x:v>
      </x:c>
      <x:c r="I82" s="38" t="str">
        <x:v>Factura FM/6452</x:v>
      </x:c>
      <x:c r="J82" s="115" t="str">
        <x:v>28/02/2026</x:v>
      </x:c>
      <x:c r="K82" s="38" t="str">
        <x:v>Albarán NT/26.000.337</x:v>
      </x:c>
      <x:c r="L82" s="38" t="n">
        <x:v>1</x:v>
      </x:c>
      <x:c r="M82" s="38" t="str">
        <x:v>Unidad</x:v>
      </x:c>
      <x:c r="N82" s="38" t="n">
        <x:v>1</x:v>
      </x:c>
      <x:c r="O82" s="38" t="str">
        <x:v>Unidad</x:v>
      </x:c>
      <x:c r="P82" s="99" t="n">
        <x:v>45.1</x:v>
      </x:c>
      <x:c r="Q82" s="114" t="n">
        <x:v>0.5</x:v>
      </x:c>
      <x:c r="R82" s="99" t="n">
        <x:v>22.55</x:v>
      </x:c>
      <x:c r="S82" s="99" t="n">
        <x:f>IFERROR(R82/L82,P82*(1-Q82))</x:f>
        <x:v>22.55</x:v>
      </x:c>
      <x:c r="T82" s="114" t="n">
        <x:v>0.07</x:v>
      </x:c>
      <x:c r="U82" s="99" t="n">
        <x:f>S82*(1+T82)</x:f>
        <x:v>24.128500000000003</x:v>
      </x:c>
      <x:c r="V82" s="99" t="n">
        <x:f>S82</x:f>
        <x:v>22.55</x:v>
      </x:c>
      <x:c r="W82" s="99" t="n">
        <x:f>V82-S82</x:f>
        <x:v>0</x:v>
      </x:c>
      <x:c r="X82" s="114" t="n">
        <x:f>IFERROR(W82/V82,0)</x:f>
        <x:v>0</x:v>
      </x:c>
      <x:c r="Y82" s="38" t="str">
        <x:v>Por unidad</x:v>
      </x:c>
      <x:c r="Z82" s="38" t="str">
        <x:f>IF(Y82="Botella / 3 instalaciones","Precio botella / 3",IF(Y82="Por rollo o metros proporcionales","Si se pasa rollo: rollo completo. Si se pasan metros: proporcional",Y82))</x:f>
        <x:v>Por unidad</x:v>
      </x:c>
      <x:c r="AA82" s="38" t="n">
        <x:v>1</x:v>
      </x:c>
      <x:c r="AB82" s="38" t="str"/>
      <x:c r="AC82" s="38" t="str"/>
      <x:c r="AD82" s="116" t="str">
        <x:v>2026-06-30</x:v>
      </x:c>
      <x:c r="AE82" s="38" t="str">
        <x:v>Sí</x:v>
      </x:c>
      <x:c r="AF82" s="38" t="str">
        <x:v>Revisar categoría antes de usar en cálculo automático.</x:v>
      </x:c>
    </x:row>
    <x:row r="83">
      <x:c r="A83" s="38" t="str">
        <x:v>MAT-0082</x:v>
      </x:c>
      <x:c r="B83" s="38" t="str">
        <x:v>Sí</x:v>
      </x:c>
      <x:c r="C83" s="38" t="str">
        <x:v>Sin clasificar</x:v>
      </x:c>
      <x:c r="D83" s="38" t="str"/>
      <x:c r="E83" s="38" t="str">
        <x:v>Angulo Exterior 60*80 Mm</x:v>
      </x:c>
      <x:c r="F83" s="38" t="str">
        <x:v>ANGULO EXTERIOR 60*80 MM</x:v>
      </x:c>
      <x:c r="G83" s="38" t="str">
        <x:v>0806AE</x:v>
      </x:c>
      <x:c r="H83" s="38" t="str">
        <x:v>Comercial Santana Alemán y González, S.L. (Grupo SAG)</x:v>
      </x:c>
      <x:c r="I83" s="38" t="str">
        <x:v>Factura FM/6452</x:v>
      </x:c>
      <x:c r="J83" s="115" t="str">
        <x:v>28/02/2026</x:v>
      </x:c>
      <x:c r="K83" s="38" t="str">
        <x:v>Albarán NT/26.000.337</x:v>
      </x:c>
      <x:c r="L83" s="38" t="n">
        <x:v>1</x:v>
      </x:c>
      <x:c r="M83" s="38" t="str">
        <x:v>Unidad</x:v>
      </x:c>
      <x:c r="N83" s="38" t="n">
        <x:v>1</x:v>
      </x:c>
      <x:c r="O83" s="38" t="str">
        <x:v>Unidad</x:v>
      </x:c>
      <x:c r="P83" s="99" t="n">
        <x:v>4.2</x:v>
      </x:c>
      <x:c r="Q83" s="114" t="n">
        <x:v>0.45</x:v>
      </x:c>
      <x:c r="R83" s="99" t="n">
        <x:v>2.31</x:v>
      </x:c>
      <x:c r="S83" s="99" t="n">
        <x:f>IFERROR(R83/L83,P83*(1-Q83))</x:f>
        <x:v>2.31</x:v>
      </x:c>
      <x:c r="T83" s="114" t="n">
        <x:v>0.07</x:v>
      </x:c>
      <x:c r="U83" s="99" t="n">
        <x:f>S83*(1+T83)</x:f>
        <x:v>2.4717000000000002</x:v>
      </x:c>
      <x:c r="V83" s="99" t="n">
        <x:f>S83</x:f>
        <x:v>2.31</x:v>
      </x:c>
      <x:c r="W83" s="99" t="n">
        <x:f>V83-S83</x:f>
        <x:v>0</x:v>
      </x:c>
      <x:c r="X83" s="114" t="n">
        <x:f>IFERROR(W83/V83,0)</x:f>
        <x:v>0</x:v>
      </x:c>
      <x:c r="Y83" s="38" t="str">
        <x:v>Por unidad</x:v>
      </x:c>
      <x:c r="Z83" s="38" t="str">
        <x:f>IF(Y83="Botella / 3 instalaciones","Precio botella / 3",IF(Y83="Por rollo o metros proporcionales","Si se pasa rollo: rollo completo. Si se pasan metros: proporcional",Y83))</x:f>
        <x:v>Por unidad</x:v>
      </x:c>
      <x:c r="AA83" s="38" t="n">
        <x:v>1</x:v>
      </x:c>
      <x:c r="AB83" s="38" t="str"/>
      <x:c r="AC83" s="38" t="str"/>
      <x:c r="AD83" s="116" t="str">
        <x:v>2026-06-30</x:v>
      </x:c>
      <x:c r="AE83" s="38" t="str">
        <x:v>Sí</x:v>
      </x:c>
      <x:c r="AF83" s="38" t="str">
        <x:v>Revisar categoría antes de usar en cálculo automático.</x:v>
      </x:c>
    </x:row>
    <x:row r="84">
      <x:c r="A84" s="38" t="str">
        <x:v>MAT-0083</x:v>
      </x:c>
      <x:c r="B84" s="38" t="str">
        <x:v>Sí</x:v>
      </x:c>
      <x:c r="C84" s="38" t="str">
        <x:v>Sin clasificar</x:v>
      </x:c>
      <x:c r="D84" s="38" t="str"/>
      <x:c r="E84" s="38" t="str">
        <x:v>Angulo Interior 60*80 Mm</x:v>
      </x:c>
      <x:c r="F84" s="38" t="str">
        <x:v>ANGULO INTERIOR 60*80 MM</x:v>
      </x:c>
      <x:c r="G84" s="38" t="str">
        <x:v>0805AI</x:v>
      </x:c>
      <x:c r="H84" s="38" t="str">
        <x:v>Comercial Santana Alemán y González, S.L. (Grupo SAG)</x:v>
      </x:c>
      <x:c r="I84" s="38" t="str">
        <x:v>Factura FM/6452</x:v>
      </x:c>
      <x:c r="J84" s="115" t="str">
        <x:v>28/02/2026</x:v>
      </x:c>
      <x:c r="K84" s="38" t="str">
        <x:v>Albarán NT/26.000.337</x:v>
      </x:c>
      <x:c r="L84" s="38" t="n">
        <x:v>2</x:v>
      </x:c>
      <x:c r="M84" s="38" t="str">
        <x:v>Unidad</x:v>
      </x:c>
      <x:c r="N84" s="38" t="n">
        <x:v>1</x:v>
      </x:c>
      <x:c r="O84" s="38" t="str">
        <x:v>Unidad</x:v>
      </x:c>
      <x:c r="P84" s="99" t="n">
        <x:v>4.2</x:v>
      </x:c>
      <x:c r="Q84" s="114" t="n">
        <x:v>0.45</x:v>
      </x:c>
      <x:c r="R84" s="99" t="n">
        <x:v>4.62</x:v>
      </x:c>
      <x:c r="S84" s="99" t="n">
        <x:f>IFERROR(R84/L84,P84*(1-Q84))</x:f>
        <x:v>2.31</x:v>
      </x:c>
      <x:c r="T84" s="114" t="n">
        <x:v>0.07</x:v>
      </x:c>
      <x:c r="U84" s="99" t="n">
        <x:f>S84*(1+T84)</x:f>
        <x:v>2.4717000000000002</x:v>
      </x:c>
      <x:c r="V84" s="99" t="n">
        <x:f>S84</x:f>
        <x:v>2.31</x:v>
      </x:c>
      <x:c r="W84" s="99" t="n">
        <x:f>V84-S84</x:f>
        <x:v>0</x:v>
      </x:c>
      <x:c r="X84" s="114" t="n">
        <x:f>IFERROR(W84/V84,0)</x:f>
        <x:v>0</x:v>
      </x:c>
      <x:c r="Y84" s="38" t="str">
        <x:v>Por unidad</x:v>
      </x:c>
      <x:c r="Z84" s="38" t="str">
        <x:f>IF(Y84="Botella / 3 instalaciones","Precio botella / 3",IF(Y84="Por rollo o metros proporcionales","Si se pasa rollo: rollo completo. Si se pasan metros: proporcional",Y84))</x:f>
        <x:v>Por unidad</x:v>
      </x:c>
      <x:c r="AA84" s="38" t="n">
        <x:v>1</x:v>
      </x:c>
      <x:c r="AB84" s="38" t="str"/>
      <x:c r="AC84" s="38" t="str"/>
      <x:c r="AD84" s="116" t="str">
        <x:v>2026-06-30</x:v>
      </x:c>
      <x:c r="AE84" s="38" t="str">
        <x:v>Sí</x:v>
      </x:c>
      <x:c r="AF84" s="38" t="str">
        <x:v>Revisar categoría antes de usar en cálculo automático.</x:v>
      </x:c>
    </x:row>
    <x:row r="85">
      <x:c r="A85" s="38" t="str">
        <x:v>MAT-0084</x:v>
      </x:c>
      <x:c r="B85" s="38" t="str">
        <x:v>Sí</x:v>
      </x:c>
      <x:c r="C85" s="38" t="str">
        <x:v>Sin clasificar</x:v>
      </x:c>
      <x:c r="D85" s="38" t="str"/>
      <x:c r="E85" s="38" t="str">
        <x:v>Curva A Muro Cm 60*80 Mm</x:v>
      </x:c>
      <x:c r="F85" s="38" t="str">
        <x:v>CURVA A MURO CM 60*80 MM</x:v>
      </x:c>
      <x:c r="G85" s="38" t="str">
        <x:v>0809CM</x:v>
      </x:c>
      <x:c r="H85" s="38" t="str">
        <x:v>Comercial Santana Alemán y González, S.L. (Grupo SAG)</x:v>
      </x:c>
      <x:c r="I85" s="38" t="str">
        <x:v>Factura FM/6452</x:v>
      </x:c>
      <x:c r="J85" s="115" t="str">
        <x:v>28/02/2026</x:v>
      </x:c>
      <x:c r="K85" s="38" t="str">
        <x:v>Albarán NT/26.000.337</x:v>
      </x:c>
      <x:c r="L85" s="38" t="n">
        <x:v>1</x:v>
      </x:c>
      <x:c r="M85" s="38" t="str">
        <x:v>Unidad</x:v>
      </x:c>
      <x:c r="N85" s="38" t="n">
        <x:v>1</x:v>
      </x:c>
      <x:c r="O85" s="38" t="str">
        <x:v>Unidad</x:v>
      </x:c>
      <x:c r="P85" s="99" t="n">
        <x:v>6.73</x:v>
      </x:c>
      <x:c r="Q85" s="114" t="n">
        <x:v>0.45</x:v>
      </x:c>
      <x:c r="R85" s="99" t="n">
        <x:v>3.7</x:v>
      </x:c>
      <x:c r="S85" s="99" t="n">
        <x:f>IFERROR(R85/L85,P85*(1-Q85))</x:f>
        <x:v>3.7</x:v>
      </x:c>
      <x:c r="T85" s="114" t="n">
        <x:v>0.07</x:v>
      </x:c>
      <x:c r="U85" s="99" t="n">
        <x:f>S85*(1+T85)</x:f>
        <x:v>3.9590000000000005</x:v>
      </x:c>
      <x:c r="V85" s="99" t="n">
        <x:f>S85</x:f>
        <x:v>3.7</x:v>
      </x:c>
      <x:c r="W85" s="99" t="n">
        <x:f>V85-S85</x:f>
        <x:v>0</x:v>
      </x:c>
      <x:c r="X85" s="114" t="n">
        <x:f>IFERROR(W85/V85,0)</x:f>
        <x:v>0</x:v>
      </x:c>
      <x:c r="Y85" s="38" t="str">
        <x:v>Por unidad</x:v>
      </x:c>
      <x:c r="Z85" s="38" t="str">
        <x:f>IF(Y85="Botella / 3 instalaciones","Precio botella / 3",IF(Y85="Por rollo o metros proporcionales","Si se pasa rollo: rollo completo. Si se pasan metros: proporcional",Y85))</x:f>
        <x:v>Por unidad</x:v>
      </x:c>
      <x:c r="AA85" s="38" t="n">
        <x:v>1</x:v>
      </x:c>
      <x:c r="AB85" s="38" t="str"/>
      <x:c r="AC85" s="38" t="str"/>
      <x:c r="AD85" s="116" t="str">
        <x:v>2026-06-30</x:v>
      </x:c>
      <x:c r="AE85" s="38" t="str">
        <x:v>Sí</x:v>
      </x:c>
      <x:c r="AF85" s="38" t="str">
        <x:v>Revisar categoría antes de usar en cálculo automático.</x:v>
      </x:c>
    </x:row>
    <x:row r="86">
      <x:c r="A86" s="38" t="str">
        <x:v>MAT-0085</x:v>
      </x:c>
      <x:c r="B86" s="38" t="str">
        <x:v>Sí</x:v>
      </x:c>
      <x:c r="C86" s="38" t="str">
        <x:v>Sin clasificar</x:v>
      </x:c>
      <x:c r="D86" s="38" t="str"/>
      <x:c r="E86" s="38" t="str">
        <x:v>Abraz. Rm8+M10-200</x:v>
      </x:c>
      <x:c r="F86" s="38" t="str">
        <x:v>ABRAZ. RM8+M10-200</x:v>
      </x:c>
      <x:c r="G86" s="38" t="str">
        <x:v>15580200</x:v>
      </x:c>
      <x:c r="H86" s="38" t="str">
        <x:v>Comercial Santana Alemán y González, S.L. (Grupo SAG)</x:v>
      </x:c>
      <x:c r="I86" s="38" t="str">
        <x:v>Factura FM/6631</x:v>
      </x:c>
      <x:c r="J86" s="115" t="str">
        <x:v>31/03/2026</x:v>
      </x:c>
      <x:c r="K86" s="38" t="str">
        <x:v>Albarán NT/26.000.596</x:v>
      </x:c>
      <x:c r="L86" s="38" t="n">
        <x:v>2</x:v>
      </x:c>
      <x:c r="M86" s="38" t="str">
        <x:v>Unidad</x:v>
      </x:c>
      <x:c r="N86" s="38" t="n">
        <x:v>1</x:v>
      </x:c>
      <x:c r="O86" s="38" t="str">
        <x:v>Unidad</x:v>
      </x:c>
      <x:c r="P86" s="99" t="n">
        <x:v>3.08</x:v>
      </x:c>
      <x:c r="Q86" s="114" t="n">
        <x:v>0.55</x:v>
      </x:c>
      <x:c r="R86" s="99" t="n">
        <x:v>2.77</x:v>
      </x:c>
      <x:c r="S86" s="99" t="n">
        <x:f>IFERROR(R86/L86,P86*(1-Q86))</x:f>
        <x:v>1.385</x:v>
      </x:c>
      <x:c r="T86" s="114" t="n">
        <x:v>0.07</x:v>
      </x:c>
      <x:c r="U86" s="99" t="n">
        <x:f>S86*(1+T86)</x:f>
        <x:v>1.48195</x:v>
      </x:c>
      <x:c r="V86" s="99" t="n">
        <x:f>S86</x:f>
        <x:v>1.385</x:v>
      </x:c>
      <x:c r="W86" s="99" t="n">
        <x:f>V86-S86</x:f>
        <x:v>0</x:v>
      </x:c>
      <x:c r="X86" s="114" t="n">
        <x:f>IFERROR(W86/V86,0)</x:f>
        <x:v>0</x:v>
      </x:c>
      <x:c r="Y86" s="38" t="str">
        <x:v>Por unidad</x:v>
      </x:c>
      <x:c r="Z86" s="38" t="str">
        <x:f>IF(Y86="Botella / 3 instalaciones","Precio botella / 3",IF(Y86="Por rollo o metros proporcionales","Si se pasa rollo: rollo completo. Si se pasan metros: proporcional",Y86))</x:f>
        <x:v>Por unidad</x:v>
      </x:c>
      <x:c r="AA86" s="38" t="n">
        <x:v>1</x:v>
      </x:c>
      <x:c r="AB86" s="38" t="str"/>
      <x:c r="AC86" s="38" t="str"/>
      <x:c r="AD86" s="116" t="str">
        <x:v>2026-06-30</x:v>
      </x:c>
      <x:c r="AE86" s="38" t="str">
        <x:v>Sí</x:v>
      </x:c>
      <x:c r="AF86" s="38" t="str">
        <x:v>Revisar categoría antes de usar en cálculo automático.</x:v>
      </x:c>
    </x:row>
    <x:row r="87">
      <x:c r="A87" s="38" t="str">
        <x:v>MAT-0086</x:v>
      </x:c>
      <x:c r="B87" s="38" t="str">
        <x:v>Sí</x:v>
      </x:c>
      <x:c r="C87" s="38" t="str">
        <x:v>Conductos/Ventilación</x:v>
      </x:c>
      <x:c r="D87" s="38" t="str">
        <x:v>Conducto/accesorio</x:v>
      </x:c>
      <x:c r="E87" s="38" t="str">
        <x:v>Manguito Galvanizado De 200 Mm</x:v>
      </x:c>
      <x:c r="F87" s="38" t="str">
        <x:v>MANGUITO GALVANIZADO DE 200 MM</x:v>
      </x:c>
      <x:c r="G87" s="38" t="str">
        <x:v>CG-MAN-200</x:v>
      </x:c>
      <x:c r="H87" s="38" t="str">
        <x:v>Comercial Santana Alemán y González, S.L. (Grupo SAG)</x:v>
      </x:c>
      <x:c r="I87" s="38" t="str">
        <x:v>Factura FM/6631</x:v>
      </x:c>
      <x:c r="J87" s="115" t="str">
        <x:v>31/03/2026</x:v>
      </x:c>
      <x:c r="K87" s="38" t="str">
        <x:v>Albarán NT/26.000.598</x:v>
      </x:c>
      <x:c r="L87" s="38" t="n">
        <x:v>1</x:v>
      </x:c>
      <x:c r="M87" s="38" t="str">
        <x:v>Unidad</x:v>
      </x:c>
      <x:c r="N87" s="38" t="n">
        <x:v>1</x:v>
      </x:c>
      <x:c r="O87" s="38" t="str">
        <x:v>Unidad</x:v>
      </x:c>
      <x:c r="P87" s="99" t="n">
        <x:v>5.998</x:v>
      </x:c>
      <x:c r="Q87" s="114" t="n">
        <x:v>0.55</x:v>
      </x:c>
      <x:c r="R87" s="99" t="n">
        <x:v>2.7</x:v>
      </x:c>
      <x:c r="S87" s="99" t="n">
        <x:f>IFERROR(R87/L87,P87*(1-Q87))</x:f>
        <x:v>2.7</x:v>
      </x:c>
      <x:c r="T87" s="114" t="n">
        <x:v>0.07</x:v>
      </x:c>
      <x:c r="U87" s="99" t="n">
        <x:f>S87*(1+T87)</x:f>
        <x:v>2.8890000000000002</x:v>
      </x:c>
      <x:c r="V87" s="99" t="n">
        <x:f>S87</x:f>
        <x:v>2.7</x:v>
      </x:c>
      <x:c r="W87" s="99" t="n">
        <x:f>V87-S87</x:f>
        <x:v>0</x:v>
      </x:c>
      <x:c r="X87" s="114" t="n">
        <x:f>IFERROR(W87/V87,0)</x:f>
        <x:v>0</x:v>
      </x:c>
      <x:c r="Y87" s="38" t="str">
        <x:v>Por unidad</x:v>
      </x:c>
      <x:c r="Z87" s="38" t="str">
        <x:f>IF(Y87="Botella / 3 instalaciones","Precio botella / 3",IF(Y87="Por rollo o metros proporcionales","Si se pasa rollo: rollo completo. Si se pasan metros: proporcional",Y87))</x:f>
        <x:v>Por unidad</x:v>
      </x:c>
      <x:c r="AA87" s="38" t="n">
        <x:v>1</x:v>
      </x:c>
      <x:c r="AB87" s="38" t="str"/>
      <x:c r="AC87" s="38" t="str"/>
      <x:c r="AD87" s="116" t="str">
        <x:v>2026-06-30</x:v>
      </x:c>
      <x:c r="AE87" s="38" t="str">
        <x:v>No</x:v>
      </x:c>
      <x:c r="AF87" s="38" t="str"/>
    </x:row>
    <x:row r="88">
      <x:c r="A88" s="38" t="str">
        <x:v>MAT-0087</x:v>
      </x:c>
      <x:c r="B88" s="38" t="str">
        <x:v>Sí</x:v>
      </x:c>
      <x:c r="C88" s="38" t="str">
        <x:v>Electricidad</x:v>
      </x:c>
      <x:c r="D88" s="38" t="str">
        <x:v>Cable eléctrico</x:v>
      </x:c>
      <x:c r="E88" s="38" t="str">
        <x:v>Bd Kit Analizador Manguera Flexible L1500 R410, R32,R407C</x:v>
      </x:c>
      <x:c r="F88" s="38" t="str">
        <x:v>BD KIT ANALIZADOR MANGUERA FLEXIBLE L1500 R410, R32,R407C</x:v>
      </x:c>
      <x:c r="G88" s="38" t="str">
        <x:v>7005-4100</x:v>
      </x:c>
      <x:c r="H88" s="38" t="str">
        <x:v>Comercial Santana Alemán y González, S.L. (Grupo SAG)</x:v>
      </x:c>
      <x:c r="I88" s="38" t="str">
        <x:v>Factura FM/6631</x:v>
      </x:c>
      <x:c r="J88" s="115" t="str">
        <x:v>31/03/2026</x:v>
      </x:c>
      <x:c r="K88" s="38" t="str">
        <x:v>Albarán NT/26.000.905</x:v>
      </x:c>
      <x:c r="L88" s="38" t="n">
        <x:v>1</x:v>
      </x:c>
      <x:c r="M88" s="38" t="str">
        <x:v>Metro</x:v>
      </x:c>
      <x:c r="N88" s="38" t="n">
        <x:v>1</x:v>
      </x:c>
      <x:c r="O88" s="38" t="str">
        <x:v>Metro</x:v>
      </x:c>
      <x:c r="P88" s="99" t="n">
        <x:v>253.63</x:v>
      </x:c>
      <x:c r="Q88" s="114" t="n">
        <x:v>0.4</x:v>
      </x:c>
      <x:c r="R88" s="99" t="n">
        <x:v>152.18</x:v>
      </x:c>
      <x:c r="S88" s="99" t="n">
        <x:f>IFERROR(R88/L88,P88*(1-Q88))</x:f>
        <x:v>152.18</x:v>
      </x:c>
      <x:c r="T88" s="114" t="n">
        <x:v>0.07</x:v>
      </x:c>
      <x:c r="U88" s="99" t="n">
        <x:f>S88*(1+T88)</x:f>
        <x:v>162.8326</x:v>
      </x:c>
      <x:c r="V88" s="99" t="n">
        <x:f>S88</x:f>
        <x:v>152.18</x:v>
      </x:c>
      <x:c r="W88" s="99" t="n">
        <x:f>V88-S88</x:f>
        <x:v>0</x:v>
      </x:c>
      <x:c r="X88" s="114" t="n">
        <x:f>IFERROR(W88/V88,0)</x:f>
        <x:v>0</x:v>
      </x:c>
      <x:c r="Y88" s="38" t="str">
        <x:v>Por metros</x:v>
      </x:c>
      <x:c r="Z88" s="38" t="str">
        <x:f>IF(Y88="Botella / 3 instalaciones","Precio botella / 3",IF(Y88="Por rollo o metros proporcionales","Si se pasa rollo: rollo completo. Si se pasan metros: proporcional",Y88))</x:f>
        <x:v>Por metros</x:v>
      </x:c>
      <x:c r="AA88" s="38" t="n">
        <x:v>1</x:v>
      </x:c>
      <x:c r="AB88" s="38" t="str"/>
      <x:c r="AC88" s="38" t="str"/>
      <x:c r="AD88" s="116" t="str">
        <x:v>2026-06-30</x:v>
      </x:c>
      <x:c r="AE88" s="38" t="str">
        <x:v>No</x:v>
      </x:c>
      <x:c r="AF88" s="38" t="str"/>
    </x:row>
    <x:row r="89">
      <x:c r="A89" s="38" t="str">
        <x:v>MAT-0088</x:v>
      </x:c>
      <x:c r="B89" s="38" t="str">
        <x:v>Sí</x:v>
      </x:c>
      <x:c r="C89" s="38" t="str">
        <x:v>Conductos/Ventilación</x:v>
      </x:c>
      <x:c r="D89" s="38" t="str">
        <x:v>Conducto/accesorio</x:v>
      </x:c>
      <x:c r="E89" s="38" t="str">
        <x:v>Codo Galvanizado 90º 200 Mm</x:v>
      </x:c>
      <x:c r="F89" s="38" t="str">
        <x:v>CODO GALVANIZADO 90º 200 MM</x:v>
      </x:c>
      <x:c r="G89" s="38" t="str">
        <x:v>CG-COD90-200</x:v>
      </x:c>
      <x:c r="H89" s="38" t="str">
        <x:v>Comercial Santana Alemán y González, S.L. (Grupo SAG)</x:v>
      </x:c>
      <x:c r="I89" s="38" t="str">
        <x:v>Factura FM/6631</x:v>
      </x:c>
      <x:c r="J89" s="115" t="str">
        <x:v>31/03/2026</x:v>
      </x:c>
      <x:c r="K89" s="38" t="str">
        <x:v>Albarán NT/26.000.559 (CABILDO CASA LA MIEL)</x:v>
      </x:c>
      <x:c r="L89" s="38" t="n">
        <x:v>3</x:v>
      </x:c>
      <x:c r="M89" s="38" t="str">
        <x:v>Unidad</x:v>
      </x:c>
      <x:c r="N89" s="38" t="n">
        <x:v>1</x:v>
      </x:c>
      <x:c r="O89" s="38" t="str">
        <x:v>Unidad</x:v>
      </x:c>
      <x:c r="P89" s="99" t="n">
        <x:v>26.08</x:v>
      </x:c>
      <x:c r="Q89" s="114" t="n">
        <x:v>0.5</x:v>
      </x:c>
      <x:c r="R89" s="99" t="n">
        <x:v>39.12</x:v>
      </x:c>
      <x:c r="S89" s="99" t="n">
        <x:f>IFERROR(R89/L89,P89*(1-Q89))</x:f>
        <x:v>13.04</x:v>
      </x:c>
      <x:c r="T89" s="114" t="n">
        <x:v>0.07</x:v>
      </x:c>
      <x:c r="U89" s="99" t="n">
        <x:f>S89*(1+T89)</x:f>
        <x:v>13.9528</x:v>
      </x:c>
      <x:c r="V89" s="99" t="n">
        <x:f>S89</x:f>
        <x:v>13.04</x:v>
      </x:c>
      <x:c r="W89" s="99" t="n">
        <x:f>V89-S89</x:f>
        <x:v>0</x:v>
      </x:c>
      <x:c r="X89" s="114" t="n">
        <x:f>IFERROR(W89/V89,0)</x:f>
        <x:v>0</x:v>
      </x:c>
      <x:c r="Y89" s="38" t="str">
        <x:v>Por unidad</x:v>
      </x:c>
      <x:c r="Z89" s="38" t="str">
        <x:f>IF(Y89="Botella / 3 instalaciones","Precio botella / 3",IF(Y89="Por rollo o metros proporcionales","Si se pasa rollo: rollo completo. Si se pasan metros: proporcional",Y89))</x:f>
        <x:v>Por unidad</x:v>
      </x:c>
      <x:c r="AA89" s="38" t="n">
        <x:v>1</x:v>
      </x:c>
      <x:c r="AB89" s="38" t="str"/>
      <x:c r="AC89" s="38" t="str"/>
      <x:c r="AD89" s="116" t="str">
        <x:v>2026-06-30</x:v>
      </x:c>
      <x:c r="AE89" s="38" t="str">
        <x:v>No</x:v>
      </x:c>
      <x:c r="AF89" s="38" t="str"/>
    </x:row>
    <x:row r="90">
      <x:c r="A90" s="38" t="str">
        <x:v>MAT-0089</x:v>
      </x:c>
      <x:c r="B90" s="38" t="str">
        <x:v>Sí</x:v>
      </x:c>
      <x:c r="C90" s="38" t="str">
        <x:v>Sin clasificar</x:v>
      </x:c>
      <x:c r="D90" s="38" t="str"/>
      <x:c r="E90" s="38" t="str">
        <x:v>Te Galvanizada 90º 200 Mm</x:v>
      </x:c>
      <x:c r="F90" s="38" t="str">
        <x:v>TE GALVANIZADA 90º 200 MM</x:v>
      </x:c>
      <x:c r="G90" s="38" t="str">
        <x:v>CG-TE90-200</x:v>
      </x:c>
      <x:c r="H90" s="38" t="str">
        <x:v>Comercial Santana Alemán y González, S.L. (Grupo SAG)</x:v>
      </x:c>
      <x:c r="I90" s="38" t="str">
        <x:v>Factura FM/6631</x:v>
      </x:c>
      <x:c r="J90" s="115" t="str">
        <x:v>31/03/2026</x:v>
      </x:c>
      <x:c r="K90" s="38" t="str">
        <x:v>Albarán NT/26.000.559 (CABILDO CASA LA MIEL)</x:v>
      </x:c>
      <x:c r="L90" s="38" t="n">
        <x:v>1</x:v>
      </x:c>
      <x:c r="M90" s="38" t="str">
        <x:v>Unidad</x:v>
      </x:c>
      <x:c r="N90" s="38" t="n">
        <x:v>1</x:v>
      </x:c>
      <x:c r="O90" s="38" t="str">
        <x:v>Unidad</x:v>
      </x:c>
      <x:c r="P90" s="99" t="n">
        <x:v>30.44</x:v>
      </x:c>
      <x:c r="Q90" s="114" t="n">
        <x:v>0.5</x:v>
      </x:c>
      <x:c r="R90" s="99" t="n">
        <x:v>15.22</x:v>
      </x:c>
      <x:c r="S90" s="99" t="n">
        <x:f>IFERROR(R90/L90,P90*(1-Q90))</x:f>
        <x:v>15.22</x:v>
      </x:c>
      <x:c r="T90" s="114" t="n">
        <x:v>0.07</x:v>
      </x:c>
      <x:c r="U90" s="99" t="n">
        <x:f>S90*(1+T90)</x:f>
        <x:v>16.285400000000003</x:v>
      </x:c>
      <x:c r="V90" s="99" t="n">
        <x:f>S90</x:f>
        <x:v>15.22</x:v>
      </x:c>
      <x:c r="W90" s="99" t="n">
        <x:f>V90-S90</x:f>
        <x:v>0</x:v>
      </x:c>
      <x:c r="X90" s="114" t="n">
        <x:f>IFERROR(W90/V90,0)</x:f>
        <x:v>0</x:v>
      </x:c>
      <x:c r="Y90" s="38" t="str">
        <x:v>Por unidad</x:v>
      </x:c>
      <x:c r="Z90" s="38" t="str">
        <x:f>IF(Y90="Botella / 3 instalaciones","Precio botella / 3",IF(Y90="Por rollo o metros proporcionales","Si se pasa rollo: rollo completo. Si se pasan metros: proporcional",Y90))</x:f>
        <x:v>Por unidad</x:v>
      </x:c>
      <x:c r="AA90" s="38" t="n">
        <x:v>1</x:v>
      </x:c>
      <x:c r="AB90" s="38" t="str"/>
      <x:c r="AC90" s="38" t="str"/>
      <x:c r="AD90" s="116" t="str">
        <x:v>2026-06-30</x:v>
      </x:c>
      <x:c r="AE90" s="38" t="str">
        <x:v>Sí</x:v>
      </x:c>
      <x:c r="AF90" s="38" t="str">
        <x:v>Revisar categoría antes de usar en cálculo automático.</x:v>
      </x:c>
    </x:row>
    <x:row r="91">
      <x:c r="A91" s="38" t="str">
        <x:v>MAT-0090</x:v>
      </x:c>
      <x:c r="B91" s="38" t="str">
        <x:v>Sí</x:v>
      </x:c>
      <x:c r="C91" s="38" t="str">
        <x:v>Sin clasificar</x:v>
      </x:c>
      <x:c r="D91" s="38" t="str"/>
      <x:c r="E91" s="38" t="str">
        <x:v>Tapa Galvanizada De 200 Mm</x:v>
      </x:c>
      <x:c r="F91" s="38" t="str">
        <x:v>TAPA GALVANIZADA DE 200 MM</x:v>
      </x:c>
      <x:c r="G91" s="38" t="str">
        <x:v>CG-TAPA-200</x:v>
      </x:c>
      <x:c r="H91" s="38" t="str">
        <x:v>Comercial Santana Alemán y González, S.L. (Grupo SAG)</x:v>
      </x:c>
      <x:c r="I91" s="38" t="str">
        <x:v>Factura FM/6631</x:v>
      </x:c>
      <x:c r="J91" s="115" t="str">
        <x:v>31/03/2026</x:v>
      </x:c>
      <x:c r="K91" s="38" t="str">
        <x:v>Albarán NT/26.000.559 (CABILDO CASA LA MIEL)</x:v>
      </x:c>
      <x:c r="L91" s="38" t="n">
        <x:v>3</x:v>
      </x:c>
      <x:c r="M91" s="38" t="str">
        <x:v>Unidad</x:v>
      </x:c>
      <x:c r="N91" s="38" t="n">
        <x:v>1</x:v>
      </x:c>
      <x:c r="O91" s="38" t="str">
        <x:v>Unidad</x:v>
      </x:c>
      <x:c r="P91" s="99" t="n">
        <x:v>7.67</x:v>
      </x:c>
      <x:c r="Q91" s="114" t="n">
        <x:v>0.5</x:v>
      </x:c>
      <x:c r="R91" s="99" t="n">
        <x:v>11.51</x:v>
      </x:c>
      <x:c r="S91" s="99" t="n">
        <x:f>IFERROR(R91/L91,P91*(1-Q91))</x:f>
        <x:v>3.8366666666666664</x:v>
      </x:c>
      <x:c r="T91" s="114" t="n">
        <x:v>0.07</x:v>
      </x:c>
      <x:c r="U91" s="99" t="n">
        <x:f>S91*(1+T91)</x:f>
        <x:v>4.1052333333333335</x:v>
      </x:c>
      <x:c r="V91" s="99" t="n">
        <x:f>S91</x:f>
        <x:v>3.8366666666666664</x:v>
      </x:c>
      <x:c r="W91" s="99" t="n">
        <x:f>V91-S91</x:f>
        <x:v>0</x:v>
      </x:c>
      <x:c r="X91" s="114" t="n">
        <x:f>IFERROR(W91/V91,0)</x:f>
        <x:v>0</x:v>
      </x:c>
      <x:c r="Y91" s="38" t="str">
        <x:v>Por unidad</x:v>
      </x:c>
      <x:c r="Z91" s="38" t="str">
        <x:f>IF(Y91="Botella / 3 instalaciones","Precio botella / 3",IF(Y91="Por rollo o metros proporcionales","Si se pasa rollo: rollo completo. Si se pasan metros: proporcional",Y91))</x:f>
        <x:v>Por unidad</x:v>
      </x:c>
      <x:c r="AA91" s="38" t="n">
        <x:v>1</x:v>
      </x:c>
      <x:c r="AB91" s="38" t="str"/>
      <x:c r="AC91" s="38" t="str"/>
      <x:c r="AD91" s="116" t="str">
        <x:v>2026-06-30</x:v>
      </x:c>
      <x:c r="AE91" s="38" t="str">
        <x:v>Sí</x:v>
      </x:c>
      <x:c r="AF91" s="38" t="str">
        <x:v>Revisar categoría antes de usar en cálculo automático.</x:v>
      </x:c>
    </x:row>
    <x:row r="92">
      <x:c r="A92" s="38" t="str">
        <x:v>MAT-0091</x:v>
      </x:c>
      <x:c r="B92" s="38" t="str">
        <x:v>Sí</x:v>
      </x:c>
      <x:c r="C92" s="38" t="str">
        <x:v>Sin clasificar</x:v>
      </x:c>
      <x:c r="D92" s="38" t="str"/>
      <x:c r="E92" s="38" t="str">
        <x:v>Ml Tubo Helicoidal Galva Marca Sag De 200 Mm (3 Metros)</x:v>
      </x:c>
      <x:c r="F92" s="38" t="str">
        <x:v>ML TUBO HELICOIDAL GALVA MARCA SAG DE 200 MM (3 METROS)</x:v>
      </x:c>
      <x:c r="G92" s="38" t="str">
        <x:v>CG-THG-0200</x:v>
      </x:c>
      <x:c r="H92" s="38" t="str">
        <x:v>Comercial Santana Alemán y González, S.L. (Grupo SAG)</x:v>
      </x:c>
      <x:c r="I92" s="38" t="str">
        <x:v>Factura FM/6631</x:v>
      </x:c>
      <x:c r="J92" s="115" t="str">
        <x:v>31/03/2026</x:v>
      </x:c>
      <x:c r="K92" s="38" t="str">
        <x:v>Albarán NT/26.000.559 (CABILDO CASA LA MIEL)</x:v>
      </x:c>
      <x:c r="L92" s="38" t="n">
        <x:v>9</x:v>
      </x:c>
      <x:c r="M92" s="38" t="str">
        <x:v>Unidad</x:v>
      </x:c>
      <x:c r="N92" s="38" t="n">
        <x:v>1</x:v>
      </x:c>
      <x:c r="O92" s="38" t="str">
        <x:v>Unidad</x:v>
      </x:c>
      <x:c r="P92" s="99" t="n">
        <x:v>18.3</x:v>
      </x:c>
      <x:c r="Q92" s="114" t="n">
        <x:v>0.5</x:v>
      </x:c>
      <x:c r="R92" s="99" t="n">
        <x:v>82.35</x:v>
      </x:c>
      <x:c r="S92" s="99" t="n">
        <x:f>IFERROR(R92/L92,P92*(1-Q92))</x:f>
        <x:v>9.149999999999999</x:v>
      </x:c>
      <x:c r="T92" s="114" t="n">
        <x:v>0.07</x:v>
      </x:c>
      <x:c r="U92" s="99" t="n">
        <x:f>S92*(1+T92)</x:f>
        <x:v>9.7905</x:v>
      </x:c>
      <x:c r="V92" s="99" t="n">
        <x:f>S92</x:f>
        <x:v>9.149999999999999</x:v>
      </x:c>
      <x:c r="W92" s="99" t="n">
        <x:f>V92-S92</x:f>
        <x:v>0</x:v>
      </x:c>
      <x:c r="X92" s="114" t="n">
        <x:f>IFERROR(W92/V92,0)</x:f>
        <x:v>0</x:v>
      </x:c>
      <x:c r="Y92" s="38" t="str">
        <x:v>Por unidad</x:v>
      </x:c>
      <x:c r="Z92" s="38" t="str">
        <x:f>IF(Y92="Botella / 3 instalaciones","Precio botella / 3",IF(Y92="Por rollo o metros proporcionales","Si se pasa rollo: rollo completo. Si se pasan metros: proporcional",Y92))</x:f>
        <x:v>Por unidad</x:v>
      </x:c>
      <x:c r="AA92" s="38" t="n">
        <x:v>1</x:v>
      </x:c>
      <x:c r="AB92" s="38" t="str"/>
      <x:c r="AC92" s="38" t="str"/>
      <x:c r="AD92" s="116" t="str">
        <x:v>2026-06-30</x:v>
      </x:c>
      <x:c r="AE92" s="38" t="str">
        <x:v>Sí</x:v>
      </x:c>
      <x:c r="AF92" s="38" t="str">
        <x:v>Revisar categoría antes de usar en cálculo automático.</x:v>
      </x:c>
    </x:row>
    <x:row r="93">
      <x:c r="A93" s="38" t="str">
        <x:v>MAT-0092</x:v>
      </x:c>
      <x:c r="B93" s="38" t="str">
        <x:v>Sí</x:v>
      </x:c>
      <x:c r="C93" s="38" t="str">
        <x:v>Sin clasificar</x:v>
      </x:c>
      <x:c r="D93" s="38" t="str"/>
      <x:c r="E93" s="38" t="str">
        <x:v>Corona De 200 Mm</x:v>
      </x:c>
      <x:c r="F93" s="38" t="str">
        <x:v>CORONA DE 200 MM</x:v>
      </x:c>
      <x:c r="G93" s="38" t="str">
        <x:v>CG-CRN-0200</x:v>
      </x:c>
      <x:c r="H93" s="38" t="str">
        <x:v>Comercial Santana Alemán y González, S.L. (Grupo SAG)</x:v>
      </x:c>
      <x:c r="I93" s="38" t="str">
        <x:v>Factura FM/6631</x:v>
      </x:c>
      <x:c r="J93" s="115" t="str">
        <x:v>31/03/2026</x:v>
      </x:c>
      <x:c r="K93" s="38" t="str">
        <x:v>Albarán NT/26.000.559 (CABILDO CASA LA MIEL)</x:v>
      </x:c>
      <x:c r="L93" s="38" t="n">
        <x:v>6</x:v>
      </x:c>
      <x:c r="M93" s="38" t="str">
        <x:v>Unidad</x:v>
      </x:c>
      <x:c r="N93" s="38" t="n">
        <x:v>1</x:v>
      </x:c>
      <x:c r="O93" s="38" t="str">
        <x:v>Unidad</x:v>
      </x:c>
      <x:c r="P93" s="99" t="n">
        <x:v>5.38</x:v>
      </x:c>
      <x:c r="Q93" s="114" t="n">
        <x:v>0.5</x:v>
      </x:c>
      <x:c r="R93" s="99" t="n">
        <x:v>16.14</x:v>
      </x:c>
      <x:c r="S93" s="99" t="n">
        <x:f>IFERROR(R93/L93,P93*(1-Q93))</x:f>
        <x:v>2.69</x:v>
      </x:c>
      <x:c r="T93" s="114" t="n">
        <x:v>0.07</x:v>
      </x:c>
      <x:c r="U93" s="99" t="n">
        <x:f>S93*(1+T93)</x:f>
        <x:v>2.8783000000000003</x:v>
      </x:c>
      <x:c r="V93" s="99" t="n">
        <x:f>S93</x:f>
        <x:v>2.69</x:v>
      </x:c>
      <x:c r="W93" s="99" t="n">
        <x:f>V93-S93</x:f>
        <x:v>0</x:v>
      </x:c>
      <x:c r="X93" s="114" t="n">
        <x:f>IFERROR(W93/V93,0)</x:f>
        <x:v>0</x:v>
      </x:c>
      <x:c r="Y93" s="38" t="str">
        <x:v>Por unidad</x:v>
      </x:c>
      <x:c r="Z93" s="38" t="str">
        <x:f>IF(Y93="Botella / 3 instalaciones","Precio botella / 3",IF(Y93="Por rollo o metros proporcionales","Si se pasa rollo: rollo completo. Si se pasan metros: proporcional",Y93))</x:f>
        <x:v>Por unidad</x:v>
      </x:c>
      <x:c r="AA93" s="38" t="n">
        <x:v>1</x:v>
      </x:c>
      <x:c r="AB93" s="38" t="str"/>
      <x:c r="AC93" s="38" t="str"/>
      <x:c r="AD93" s="116" t="str">
        <x:v>2026-06-30</x:v>
      </x:c>
      <x:c r="AE93" s="38" t="str">
        <x:v>Sí</x:v>
      </x:c>
      <x:c r="AF93" s="38" t="str">
        <x:v>Revisar categoría antes de usar en cálculo automático.</x:v>
      </x:c>
    </x:row>
    <x:row r="94">
      <x:c r="A94" s="38" t="str">
        <x:v>MAT-0093</x:v>
      </x:c>
      <x:c r="B94" s="38" t="str">
        <x:v>Sí</x:v>
      </x:c>
      <x:c r="C94" s="38" t="str">
        <x:v>Sin clasificar</x:v>
      </x:c>
      <x:c r="D94" s="38" t="str"/>
      <x:c r="E94" s="38" t="str">
        <x:v>Abraz. Rm8+M10-200</x:v>
      </x:c>
      <x:c r="F94" s="38" t="str">
        <x:v>ABRAZ. RM8+M10-200</x:v>
      </x:c>
      <x:c r="G94" s="38" t="str">
        <x:v>15580200</x:v>
      </x:c>
      <x:c r="H94" s="38" t="str">
        <x:v>Comercial Santana Alemán y González, S.L. (Grupo SAG)</x:v>
      </x:c>
      <x:c r="I94" s="38" t="str">
        <x:v>Factura FM/6631</x:v>
      </x:c>
      <x:c r="J94" s="115" t="str">
        <x:v>31/03/2026</x:v>
      </x:c>
      <x:c r="K94" s="38" t="str">
        <x:v>Albarán NT/26.000.559 (CABILDO CASA LA MIEL)</x:v>
      </x:c>
      <x:c r="L94" s="38" t="n">
        <x:v>6</x:v>
      </x:c>
      <x:c r="M94" s="38" t="str">
        <x:v>Unidad</x:v>
      </x:c>
      <x:c r="N94" s="38" t="n">
        <x:v>1</x:v>
      </x:c>
      <x:c r="O94" s="38" t="str">
        <x:v>Unidad</x:v>
      </x:c>
      <x:c r="P94" s="99" t="n">
        <x:v>3.08</x:v>
      </x:c>
      <x:c r="Q94" s="114" t="n">
        <x:v>0.55</x:v>
      </x:c>
      <x:c r="R94" s="99" t="n">
        <x:v>8.32</x:v>
      </x:c>
      <x:c r="S94" s="99" t="n">
        <x:f>IFERROR(R94/L94,P94*(1-Q94))</x:f>
        <x:v>1.3866666666666667</x:v>
      </x:c>
      <x:c r="T94" s="114" t="n">
        <x:v>0.07</x:v>
      </x:c>
      <x:c r="U94" s="99" t="n">
        <x:f>S94*(1+T94)</x:f>
        <x:v>1.4837333333333336</x:v>
      </x:c>
      <x:c r="V94" s="99" t="n">
        <x:f>S94</x:f>
        <x:v>1.3866666666666667</x:v>
      </x:c>
      <x:c r="W94" s="99" t="n">
        <x:f>V94-S94</x:f>
        <x:v>0</x:v>
      </x:c>
      <x:c r="X94" s="114" t="n">
        <x:f>IFERROR(W94/V94,0)</x:f>
        <x:v>0</x:v>
      </x:c>
      <x:c r="Y94" s="38" t="str">
        <x:v>Por unidad</x:v>
      </x:c>
      <x:c r="Z94" s="38" t="str">
        <x:f>IF(Y94="Botella / 3 instalaciones","Precio botella / 3",IF(Y94="Por rollo o metros proporcionales","Si se pasa rollo: rollo completo. Si se pasan metros: proporcional",Y94))</x:f>
        <x:v>Por unidad</x:v>
      </x:c>
      <x:c r="AA94" s="38" t="n">
        <x:v>1</x:v>
      </x:c>
      <x:c r="AB94" s="38" t="str"/>
      <x:c r="AC94" s="38" t="str"/>
      <x:c r="AD94" s="116" t="str">
        <x:v>2026-06-30</x:v>
      </x:c>
      <x:c r="AE94" s="38" t="str">
        <x:v>Sí</x:v>
      </x:c>
      <x:c r="AF94" s="38" t="str">
        <x:v>Revisar categoría antes de usar en cálculo automático.</x:v>
      </x:c>
    </x:row>
    <x:row r="95">
      <x:c r="A95" s="38" t="str">
        <x:v>MAT-0094</x:v>
      </x:c>
      <x:c r="B95" s="38" t="str">
        <x:v>Sí</x:v>
      </x:c>
      <x:c r="C95" s="38" t="str">
        <x:v>Sin clasificar</x:v>
      </x:c>
      <x:c r="D95" s="38" t="str"/>
      <x:c r="E95" s="38" t="str">
        <x:v>Unidad Ventilacion Centrifugo Cadtm-7/7-4M 1/5 (1520 M3/H)</x:v>
      </x:c>
      <x:c r="F95" s="38" t="str">
        <x:v>UNIDAD VENTILACION CENTRIFUGO CADTM-7/7-4M 1/5 (1520 M3/H)</x:v>
      </x:c>
      <x:c r="G95" s="38" t="str">
        <x:v>80011002</x:v>
      </x:c>
      <x:c r="H95" s="38" t="str">
        <x:v>Comercial Santana Alemán y González, S.L. (Grupo SAG)</x:v>
      </x:c>
      <x:c r="I95" s="38" t="str">
        <x:v>Factura FM/6631</x:v>
      </x:c>
      <x:c r="J95" s="115" t="str">
        <x:v>31/03/2026</x:v>
      </x:c>
      <x:c r="K95" s="38" t="str">
        <x:v>Albarán TF/26.000.902 (CABILDO CASA LA MIEL)</x:v>
      </x:c>
      <x:c r="L95" s="38" t="n">
        <x:v>2</x:v>
      </x:c>
      <x:c r="M95" s="38" t="str">
        <x:v>Unidad</x:v>
      </x:c>
      <x:c r="N95" s="38" t="n">
        <x:v>1</x:v>
      </x:c>
      <x:c r="O95" s="38" t="str">
        <x:v>Unidad</x:v>
      </x:c>
      <x:c r="P95" s="99" t="n">
        <x:v>475</x:v>
      </x:c>
      <x:c r="Q95" s="114" t="n">
        <x:v>0.5</x:v>
      </x:c>
      <x:c r="R95" s="99" t="n">
        <x:v>475</x:v>
      </x:c>
      <x:c r="S95" s="99" t="n">
        <x:f>IFERROR(R95/L95,P95*(1-Q95))</x:f>
        <x:v>237.5</x:v>
      </x:c>
      <x:c r="T95" s="114" t="n">
        <x:v>0.07</x:v>
      </x:c>
      <x:c r="U95" s="99" t="n">
        <x:f>S95*(1+T95)</x:f>
        <x:v>254.12500000000003</x:v>
      </x:c>
      <x:c r="V95" s="99" t="n">
        <x:f>S95</x:f>
        <x:v>237.5</x:v>
      </x:c>
      <x:c r="W95" s="99" t="n">
        <x:f>V95-S95</x:f>
        <x:v>0</x:v>
      </x:c>
      <x:c r="X95" s="114" t="n">
        <x:f>IFERROR(W95/V95,0)</x:f>
        <x:v>0</x:v>
      </x:c>
      <x:c r="Y95" s="38" t="str">
        <x:v>Por unidad</x:v>
      </x:c>
      <x:c r="Z95" s="38" t="str">
        <x:f>IF(Y95="Botella / 3 instalaciones","Precio botella / 3",IF(Y95="Por rollo o metros proporcionales","Si se pasa rollo: rollo completo. Si se pasan metros: proporcional",Y95))</x:f>
        <x:v>Por unidad</x:v>
      </x:c>
      <x:c r="AA95" s="38" t="n">
        <x:v>1</x:v>
      </x:c>
      <x:c r="AB95" s="38" t="str"/>
      <x:c r="AC95" s="38" t="str"/>
      <x:c r="AD95" s="116" t="str">
        <x:v>2026-06-30</x:v>
      </x:c>
      <x:c r="AE95" s="38" t="str">
        <x:v>Sí</x:v>
      </x:c>
      <x:c r="AF95" s="38" t="str">
        <x:v>Revisar categoría antes de usar en cálculo automático.</x:v>
      </x:c>
    </x:row>
    <x:row r="96">
      <x:c r="A96" s="38" t="str">
        <x:v>MAT-0095</x:v>
      </x:c>
      <x:c r="B96" s="38" t="str">
        <x:v>Sí</x:v>
      </x:c>
      <x:c r="C96" s="38" t="str">
        <x:v>Sin clasificar</x:v>
      </x:c>
      <x:c r="D96" s="38" t="str"/>
      <x:c r="E96" s="38" t="str">
        <x:v>Regulador De Velocidad Rm-02 (2 A)</x:v>
      </x:c>
      <x:c r="F96" s="38" t="str">
        <x:v>REGULADOR DE VELOCIDAD RM-02 (2 A)</x:v>
      </x:c>
      <x:c r="G96" s="38" t="str">
        <x:v>1024171</x:v>
      </x:c>
      <x:c r="H96" s="38" t="str">
        <x:v>Comercial Santana Alemán y González, S.L. (Grupo SAG)</x:v>
      </x:c>
      <x:c r="I96" s="38" t="str">
        <x:v>Factura FM/6631</x:v>
      </x:c>
      <x:c r="J96" s="115" t="str">
        <x:v>31/03/2026</x:v>
      </x:c>
      <x:c r="K96" s="38" t="str">
        <x:v>Albarán TF/26.000.902 (CABILDO CASA LA MIEL)</x:v>
      </x:c>
      <x:c r="L96" s="38" t="n">
        <x:v>2</x:v>
      </x:c>
      <x:c r="M96" s="38" t="str">
        <x:v>Unidad</x:v>
      </x:c>
      <x:c r="N96" s="38" t="n">
        <x:v>1</x:v>
      </x:c>
      <x:c r="O96" s="38" t="str">
        <x:v>Unidad</x:v>
      </x:c>
      <x:c r="P96" s="99" t="n">
        <x:v>107.7</x:v>
      </x:c>
      <x:c r="Q96" s="114" t="n">
        <x:v>0.4</x:v>
      </x:c>
      <x:c r="R96" s="99" t="n">
        <x:v>129.24</x:v>
      </x:c>
      <x:c r="S96" s="99" t="n">
        <x:f>IFERROR(R96/L96,P96*(1-Q96))</x:f>
        <x:v>64.62</x:v>
      </x:c>
      <x:c r="T96" s="114" t="n">
        <x:v>0.07</x:v>
      </x:c>
      <x:c r="U96" s="99" t="n">
        <x:f>S96*(1+T96)</x:f>
        <x:v>69.14340000000001</x:v>
      </x:c>
      <x:c r="V96" s="99" t="n">
        <x:f>S96</x:f>
        <x:v>64.62</x:v>
      </x:c>
      <x:c r="W96" s="99" t="n">
        <x:f>V96-S96</x:f>
        <x:v>0</x:v>
      </x:c>
      <x:c r="X96" s="114" t="n">
        <x:f>IFERROR(W96/V96,0)</x:f>
        <x:v>0</x:v>
      </x:c>
      <x:c r="Y96" s="38" t="str">
        <x:v>Por unidad</x:v>
      </x:c>
      <x:c r="Z96" s="38" t="str">
        <x:f>IF(Y96="Botella / 3 instalaciones","Precio botella / 3",IF(Y96="Por rollo o metros proporcionales","Si se pasa rollo: rollo completo. Si se pasan metros: proporcional",Y96))</x:f>
        <x:v>Por unidad</x:v>
      </x:c>
      <x:c r="AA96" s="38" t="n">
        <x:v>1</x:v>
      </x:c>
      <x:c r="AB96" s="38" t="str"/>
      <x:c r="AC96" s="38" t="str"/>
      <x:c r="AD96" s="116" t="str">
        <x:v>2026-06-30</x:v>
      </x:c>
      <x:c r="AE96" s="38" t="str">
        <x:v>Sí</x:v>
      </x:c>
      <x:c r="AF96" s="38" t="str">
        <x:v>Revisar categoría antes de usar en cálculo automático.</x:v>
      </x:c>
    </x:row>
    <x:row r="97">
      <x:c r="A97" s="38" t="str">
        <x:v>MAT-0096</x:v>
      </x:c>
      <x:c r="B97" s="38" t="str">
        <x:v>Sí</x:v>
      </x:c>
      <x:c r="C97" s="38" t="str">
        <x:v>Conductos/Ventilación</x:v>
      </x:c>
      <x:c r="D97" s="38" t="str">
        <x:v>Conducto/accesorio</x:v>
      </x:c>
      <x:c r="E97" s="38" t="str">
        <x:v>M2. Conducto Rectangular 0,8Mm</x:v>
      </x:c>
      <x:c r="F97" s="38" t="str">
        <x:v>M2. CONDUCTO RECTANGULAR 0,8MM</x:v>
      </x:c>
      <x:c r="G97" s="38" t="str">
        <x:v>CG-CRT-0.8</x:v>
      </x:c>
      <x:c r="H97" s="38" t="str">
        <x:v>Comercial Santana Alemán y González, S.L. (Grupo SAG)</x:v>
      </x:c>
      <x:c r="I97" s="38" t="str">
        <x:v>Factura FM/6631</x:v>
      </x:c>
      <x:c r="J97" s="115" t="str">
        <x:v>31/03/2026</x:v>
      </x:c>
      <x:c r="K97" s="38" t="str">
        <x:v>Albarán TF/26.000.902 (CABILDO CASA LA MIEL)</x:v>
      </x:c>
      <x:c r="L97" s="38" t="n">
        <x:v>2</x:v>
      </x:c>
      <x:c r="M97" s="38" t="str">
        <x:v>m²</x:v>
      </x:c>
      <x:c r="N97" s="38" t="n">
        <x:v>1</x:v>
      </x:c>
      <x:c r="O97" s="38" t="str">
        <x:v>m²</x:v>
      </x:c>
      <x:c r="P97" s="99" t="n">
        <x:v>27.02</x:v>
      </x:c>
      <x:c r="Q97" s="114" t="n">
        <x:v>0.5</x:v>
      </x:c>
      <x:c r="R97" s="99" t="n">
        <x:v>27.02</x:v>
      </x:c>
      <x:c r="S97" s="99" t="n">
        <x:f>IFERROR(R97/L97,P97*(1-Q97))</x:f>
        <x:v>13.51</x:v>
      </x:c>
      <x:c r="T97" s="114" t="n">
        <x:v>0.07</x:v>
      </x:c>
      <x:c r="U97" s="99" t="n">
        <x:f>S97*(1+T97)</x:f>
        <x:v>14.4557</x:v>
      </x:c>
      <x:c r="V97" s="99" t="n">
        <x:f>S97</x:f>
        <x:v>13.51</x:v>
      </x:c>
      <x:c r="W97" s="99" t="n">
        <x:f>V97-S97</x:f>
        <x:v>0</x:v>
      </x:c>
      <x:c r="X97" s="114" t="n">
        <x:f>IFERROR(W97/V97,0)</x:f>
        <x:v>0</x:v>
      </x:c>
      <x:c r="Y97" s="38" t="str">
        <x:v>Por unidad</x:v>
      </x:c>
      <x:c r="Z97" s="38" t="str">
        <x:f>IF(Y97="Botella / 3 instalaciones","Precio botella / 3",IF(Y97="Por rollo o metros proporcionales","Si se pasa rollo: rollo completo. Si se pasan metros: proporcional",Y97))</x:f>
        <x:v>Por unidad</x:v>
      </x:c>
      <x:c r="AA97" s="38" t="n">
        <x:v>1</x:v>
      </x:c>
      <x:c r="AB97" s="38" t="str"/>
      <x:c r="AC97" s="38" t="str"/>
      <x:c r="AD97" s="116" t="str">
        <x:v>2026-06-30</x:v>
      </x:c>
      <x:c r="AE97" s="38" t="str">
        <x:v>No</x:v>
      </x:c>
      <x:c r="AF97" s="38" t="str"/>
    </x:row>
    <x:row r="98">
      <x:c r="A98" s="38" t="str">
        <x:v>MAT-0097</x:v>
      </x:c>
      <x:c r="B98" s="38" t="str">
        <x:v>Sí</x:v>
      </x:c>
      <x:c r="C98" s="38" t="str">
        <x:v>Conductos/Ventilación</x:v>
      </x:c>
      <x:c r="D98" s="38" t="str">
        <x:v>Conducto/accesorio</x:v>
      </x:c>
      <x:c r="E98" s="38" t="str">
        <x:v>Rejilla Simple Deflexion Mh-Tu 400*075 Mm (200-250 Mm)</x:v>
      </x:c>
      <x:c r="F98" s="38" t="str">
        <x:v>REJILLA SIMPLE DEFLEXION MH-TU 400*075 MM (200-250 MM)</x:v>
      </x:c>
      <x:c r="G98" s="38" t="str">
        <x:v>DF-MH-TU-400075</x:v>
      </x:c>
      <x:c r="H98" s="38" t="str">
        <x:v>Comercial Santana Alemán y González, S.L. (Grupo SAG)</x:v>
      </x:c>
      <x:c r="I98" s="38" t="str">
        <x:v>Factura FM/6631</x:v>
      </x:c>
      <x:c r="J98" s="115" t="str">
        <x:v>31/03/2026</x:v>
      </x:c>
      <x:c r="K98" s="38" t="str">
        <x:v>Albarán TF/26.000.902 (CABILDO CASA LA MIEL)</x:v>
      </x:c>
      <x:c r="L98" s="38" t="n">
        <x:v>4</x:v>
      </x:c>
      <x:c r="M98" s="38" t="str">
        <x:v>Unidad</x:v>
      </x:c>
      <x:c r="N98" s="38" t="n">
        <x:v>1</x:v>
      </x:c>
      <x:c r="O98" s="38" t="str">
        <x:v>Unidad</x:v>
      </x:c>
      <x:c r="P98" s="99" t="n">
        <x:v>27.56</x:v>
      </x:c>
      <x:c r="Q98" s="114" t="n">
        <x:v>0.4</x:v>
      </x:c>
      <x:c r="R98" s="99" t="n">
        <x:v>66.14</x:v>
      </x:c>
      <x:c r="S98" s="99" t="n">
        <x:f>IFERROR(R98/L98,P98*(1-Q98))</x:f>
        <x:v>16.535</x:v>
      </x:c>
      <x:c r="T98" s="114" t="n">
        <x:v>0.07</x:v>
      </x:c>
      <x:c r="U98" s="99" t="n">
        <x:f>S98*(1+T98)</x:f>
        <x:v>17.69245</x:v>
      </x:c>
      <x:c r="V98" s="99" t="n">
        <x:f>S98</x:f>
        <x:v>16.535</x:v>
      </x:c>
      <x:c r="W98" s="99" t="n">
        <x:f>V98-S98</x:f>
        <x:v>0</x:v>
      </x:c>
      <x:c r="X98" s="114" t="n">
        <x:f>IFERROR(W98/V98,0)</x:f>
        <x:v>0</x:v>
      </x:c>
      <x:c r="Y98" s="38" t="str">
        <x:v>Por unidad</x:v>
      </x:c>
      <x:c r="Z98" s="38" t="str">
        <x:f>IF(Y98="Botella / 3 instalaciones","Precio botella / 3",IF(Y98="Por rollo o metros proporcionales","Si se pasa rollo: rollo completo. Si se pasan metros: proporcional",Y98))</x:f>
        <x:v>Por unidad</x:v>
      </x:c>
      <x:c r="AA98" s="38" t="n">
        <x:v>1</x:v>
      </x:c>
      <x:c r="AB98" s="38" t="str"/>
      <x:c r="AC98" s="38" t="str"/>
      <x:c r="AD98" s="116" t="str">
        <x:v>2026-06-30</x:v>
      </x:c>
      <x:c r="AE98" s="38" t="str">
        <x:v>No</x:v>
      </x:c>
      <x:c r="AF98" s="38" t="str"/>
    </x:row>
    <x:row r="99">
      <x:c r="A99" s="38" t="str">
        <x:v>MAT-0098</x:v>
      </x:c>
      <x:c r="B99" s="38" t="str">
        <x:v>Sí</x:v>
      </x:c>
      <x:c r="C99" s="38" t="str">
        <x:v>Sin clasificar</x:v>
      </x:c>
      <x:c r="D99" s="38" t="str"/>
      <x:c r="E99" s="38" t="str">
        <x:v>Pico Flauta Cadtm-7/7 230*210 Mm</x:v>
      </x:c>
      <x:c r="F99" s="38" t="str">
        <x:v>PICO FLAUTA CADTM-7/7 230*210 MM</x:v>
      </x:c>
      <x:c r="G99" s="38" t="str">
        <x:v>CG-PF-CADTM77</x:v>
      </x:c>
      <x:c r="H99" s="38" t="str">
        <x:v>Comercial Santana Alemán y González, S.L. (Grupo SAG)</x:v>
      </x:c>
      <x:c r="I99" s="38" t="str">
        <x:v>Factura FM/6631</x:v>
      </x:c>
      <x:c r="J99" s="115" t="str">
        <x:v>31/03/2026</x:v>
      </x:c>
      <x:c r="K99" s="38" t="str">
        <x:v>Albarán TF/26.000.902 (CABILDO CASA LA MIEL)</x:v>
      </x:c>
      <x:c r="L99" s="38" t="n">
        <x:v>2</x:v>
      </x:c>
      <x:c r="M99" s="38" t="str">
        <x:v>Unidad</x:v>
      </x:c>
      <x:c r="N99" s="38" t="n">
        <x:v>1</x:v>
      </x:c>
      <x:c r="O99" s="38" t="str">
        <x:v>Unidad</x:v>
      </x:c>
      <x:c r="P99" s="99" t="n">
        <x:v>64.2</x:v>
      </x:c>
      <x:c r="Q99" s="114" t="n">
        <x:v>0.5</x:v>
      </x:c>
      <x:c r="R99" s="99" t="n">
        <x:v>64.2</x:v>
      </x:c>
      <x:c r="S99" s="99" t="n">
        <x:f>IFERROR(R99/L99,P99*(1-Q99))</x:f>
        <x:v>32.1</x:v>
      </x:c>
      <x:c r="T99" s="114" t="n">
        <x:v>0.07</x:v>
      </x:c>
      <x:c r="U99" s="99" t="n">
        <x:f>S99*(1+T99)</x:f>
        <x:v>34.347</x:v>
      </x:c>
      <x:c r="V99" s="99" t="n">
        <x:f>S99</x:f>
        <x:v>32.1</x:v>
      </x:c>
      <x:c r="W99" s="99" t="n">
        <x:f>V99-S99</x:f>
        <x:v>0</x:v>
      </x:c>
      <x:c r="X99" s="114" t="n">
        <x:f>IFERROR(W99/V99,0)</x:f>
        <x:v>0</x:v>
      </x:c>
      <x:c r="Y99" s="38" t="str">
        <x:v>Por unidad</x:v>
      </x:c>
      <x:c r="Z99" s="38" t="str">
        <x:f>IF(Y99="Botella / 3 instalaciones","Precio botella / 3",IF(Y99="Por rollo o metros proporcionales","Si se pasa rollo: rollo completo. Si se pasan metros: proporcional",Y99))</x:f>
        <x:v>Por unidad</x:v>
      </x:c>
      <x:c r="AA99" s="38" t="n">
        <x:v>1</x:v>
      </x:c>
      <x:c r="AB99" s="38" t="str"/>
      <x:c r="AC99" s="38" t="str"/>
      <x:c r="AD99" s="116" t="str">
        <x:v>2026-06-30</x:v>
      </x:c>
      <x:c r="AE99" s="38" t="str">
        <x:v>Sí</x:v>
      </x:c>
      <x:c r="AF99" s="38" t="str">
        <x:v>Revisar categoría antes de usar en cálculo automático.</x:v>
      </x:c>
    </x:row>
    <x:row r="100">
      <x:c r="A100" s="38" t="str">
        <x:v>MAT-0099</x:v>
      </x:c>
      <x:c r="B100" s="38" t="str">
        <x:v>Sí</x:v>
      </x:c>
      <x:c r="C100" s="38" t="str">
        <x:v>Sin clasificar</x:v>
      </x:c>
      <x:c r="D100" s="38" t="str"/>
      <x:c r="E100" s="38" t="str">
        <x:v>Tapa Aspiracion 7/7 (410*370 Mm)</x:v>
      </x:c>
      <x:c r="F100" s="38" t="str">
        <x:v>TAPA ASPIRACION 7/7 (410*370 MM)</x:v>
      </x:c>
      <x:c r="G100" s="38" t="str">
        <x:v>TAPA-7/7</x:v>
      </x:c>
      <x:c r="H100" s="38" t="str">
        <x:v>Comercial Santana Alemán y González, S.L. (Grupo SAG)</x:v>
      </x:c>
      <x:c r="I100" s="38" t="str">
        <x:v>Factura FM/6631</x:v>
      </x:c>
      <x:c r="J100" s="115" t="str">
        <x:v>31/03/2026</x:v>
      </x:c>
      <x:c r="K100" s="38" t="str">
        <x:v>Albarán TF/26.000.902 (CABILDO CASA LA MIEL)</x:v>
      </x:c>
      <x:c r="L100" s="38" t="n">
        <x:v>2</x:v>
      </x:c>
      <x:c r="M100" s="38" t="str">
        <x:v>Unidad</x:v>
      </x:c>
      <x:c r="N100" s="38" t="n">
        <x:v>1</x:v>
      </x:c>
      <x:c r="O100" s="38" t="str">
        <x:v>Unidad</x:v>
      </x:c>
      <x:c r="P100" s="99" t="n">
        <x:v>29.68</x:v>
      </x:c>
      <x:c r="Q100" s="114" t="n">
        <x:v>0.4</x:v>
      </x:c>
      <x:c r="R100" s="99" t="n">
        <x:v>35.62</x:v>
      </x:c>
      <x:c r="S100" s="99" t="n">
        <x:f>IFERROR(R100/L100,P100*(1-Q100))</x:f>
        <x:v>17.81</x:v>
      </x:c>
      <x:c r="T100" s="114" t="n">
        <x:v>0.07</x:v>
      </x:c>
      <x:c r="U100" s="99" t="n">
        <x:f>S100*(1+T100)</x:f>
        <x:v>19.0567</x:v>
      </x:c>
      <x:c r="V100" s="99" t="n">
        <x:f>S100</x:f>
        <x:v>17.81</x:v>
      </x:c>
      <x:c r="W100" s="99" t="n">
        <x:f>V100-S100</x:f>
        <x:v>0</x:v>
      </x:c>
      <x:c r="X100" s="114" t="n">
        <x:f>IFERROR(W100/V100,0)</x:f>
        <x:v>0</x:v>
      </x:c>
      <x:c r="Y100" s="38" t="str">
        <x:v>Por unidad</x:v>
      </x:c>
      <x:c r="Z100" s="38" t="str">
        <x:f>IF(Y100="Botella / 3 instalaciones","Precio botella / 3",IF(Y100="Por rollo o metros proporcionales","Si se pasa rollo: rollo completo. Si se pasan metros: proporcional",Y100))</x:f>
        <x:v>Por unidad</x:v>
      </x:c>
      <x:c r="AA100" s="38" t="n">
        <x:v>1</x:v>
      </x:c>
      <x:c r="AB100" s="38" t="str"/>
      <x:c r="AC100" s="38" t="str"/>
      <x:c r="AD100" s="116" t="str">
        <x:v>2026-06-30</x:v>
      </x:c>
      <x:c r="AE100" s="38" t="str">
        <x:v>Sí</x:v>
      </x:c>
      <x:c r="AF100" s="38" t="str">
        <x:v>Revisar categoría antes de usar en cálculo automático.</x:v>
      </x:c>
    </x:row>
    <x:row r="101">
      <x:c r="A101" s="38" t="str">
        <x:v>MAT-0100</x:v>
      </x:c>
      <x:c r="B101" s="38" t="str">
        <x:v>Sí</x:v>
      </x:c>
      <x:c r="C101" s="38" t="str">
        <x:v>Sin clasificar</x:v>
      </x:c>
      <x:c r="D101" s="38" t="str"/>
      <x:c r="E101" s="38" t="str">
        <x:v>Filtro Marco Met. Miniplegado Servimini M-2R G01 F7 569*419*48 Mm</x:v>
      </x:c>
      <x:c r="F101" s="38" t="str">
        <x:v>FILTRO MARCO MET. MINIPLEGADO SERVIMINI M-2R G01 F7 569*419*48 MM</x:v>
      </x:c>
      <x:c r="G101" s="38" t="str">
        <x:v>CG-FILTRO-E</x:v>
      </x:c>
      <x:c r="H101" s="38" t="str">
        <x:v>Comercial Santana Alemán y González, S.L. (Grupo SAG)</x:v>
      </x:c>
      <x:c r="I101" s="38" t="str">
        <x:v>Factura FM/6631</x:v>
      </x:c>
      <x:c r="J101" s="115" t="str">
        <x:v>31/03/2026</x:v>
      </x:c>
      <x:c r="K101" s="38" t="str">
        <x:v>Albarán NT/26.000.673</x:v>
      </x:c>
      <x:c r="L101" s="38" t="n">
        <x:v>1</x:v>
      </x:c>
      <x:c r="M101" s="38" t="str">
        <x:v>Unidad</x:v>
      </x:c>
      <x:c r="N101" s="38" t="n">
        <x:v>1</x:v>
      </x:c>
      <x:c r="O101" s="38" t="str">
        <x:v>Unidad</x:v>
      </x:c>
      <x:c r="P101" s="99" t="n">
        <x:v>65.7</x:v>
      </x:c>
      <x:c r="Q101" s="114" t="n">
        <x:v>0</x:v>
      </x:c>
      <x:c r="R101" s="99" t="n">
        <x:v>65.7</x:v>
      </x:c>
      <x:c r="S101" s="99" t="n">
        <x:f>IFERROR(R101/L101,P101*(1-Q101))</x:f>
        <x:v>65.7</x:v>
      </x:c>
      <x:c r="T101" s="114" t="n">
        <x:v>0.07</x:v>
      </x:c>
      <x:c r="U101" s="99" t="n">
        <x:f>S101*(1+T101)</x:f>
        <x:v>70.299</x:v>
      </x:c>
      <x:c r="V101" s="99" t="n">
        <x:f>S101</x:f>
        <x:v>65.7</x:v>
      </x:c>
      <x:c r="W101" s="99" t="n">
        <x:f>V101-S101</x:f>
        <x:v>0</x:v>
      </x:c>
      <x:c r="X101" s="114" t="n">
        <x:f>IFERROR(W101/V101,0)</x:f>
        <x:v>0</x:v>
      </x:c>
      <x:c r="Y101" s="38" t="str">
        <x:v>Por unidad</x:v>
      </x:c>
      <x:c r="Z101" s="38" t="str">
        <x:f>IF(Y101="Botella / 3 instalaciones","Precio botella / 3",IF(Y101="Por rollo o metros proporcionales","Si se pasa rollo: rollo completo. Si se pasan metros: proporcional",Y101))</x:f>
        <x:v>Por unidad</x:v>
      </x:c>
      <x:c r="AA101" s="38" t="n">
        <x:v>1</x:v>
      </x:c>
      <x:c r="AB101" s="38" t="str"/>
      <x:c r="AC101" s="38" t="str"/>
      <x:c r="AD101" s="116" t="str">
        <x:v>2026-06-30</x:v>
      </x:c>
      <x:c r="AE101" s="38" t="str">
        <x:v>Sí</x:v>
      </x:c>
      <x:c r="AF101" s="38" t="str">
        <x:v>Revisar categoría antes de usar en cálculo automático.</x:v>
      </x:c>
    </x:row>
    <x:row r="102">
      <x:c r="A102" s="38" t="str">
        <x:v>MAT-0101</x:v>
      </x:c>
      <x:c r="B102" s="38" t="str">
        <x:v>Sí</x:v>
      </x:c>
      <x:c r="C102" s="38" t="str">
        <x:v>Sin clasificar</x:v>
      </x:c>
      <x:c r="D102" s="38" t="str"/>
      <x:c r="E102" s="38" t="str">
        <x:v>Filtro Marco Met. Miniplegado Servimini M-2R G01 F6 569*419*48 Mm</x:v>
      </x:c>
      <x:c r="F102" s="38" t="str">
        <x:v>FILTRO MARCO MET. MINIPLEGADO SERVIMINI M-2R G01 F6 569*419*48 MM</x:v>
      </x:c>
      <x:c r="G102" s="38" t="str">
        <x:v>CG-FILTRO-E</x:v>
      </x:c>
      <x:c r="H102" s="38" t="str">
        <x:v>Comercial Santana Alemán y González, S.L. (Grupo SAG)</x:v>
      </x:c>
      <x:c r="I102" s="38" t="str">
        <x:v>Factura FM/6631</x:v>
      </x:c>
      <x:c r="J102" s="115" t="str">
        <x:v>31/03/2026</x:v>
      </x:c>
      <x:c r="K102" s="38" t="str">
        <x:v>Albarán NT/26.000.673</x:v>
      </x:c>
      <x:c r="L102" s="38" t="n">
        <x:v>1</x:v>
      </x:c>
      <x:c r="M102" s="38" t="str">
        <x:v>Unidad</x:v>
      </x:c>
      <x:c r="N102" s="38" t="n">
        <x:v>1</x:v>
      </x:c>
      <x:c r="O102" s="38" t="str">
        <x:v>Unidad</x:v>
      </x:c>
      <x:c r="P102" s="99" t="n">
        <x:v>65.7</x:v>
      </x:c>
      <x:c r="Q102" s="114" t="n">
        <x:v>0</x:v>
      </x:c>
      <x:c r="R102" s="99" t="n">
        <x:v>65.7</x:v>
      </x:c>
      <x:c r="S102" s="99" t="n">
        <x:f>IFERROR(R102/L102,P102*(1-Q102))</x:f>
        <x:v>65.7</x:v>
      </x:c>
      <x:c r="T102" s="114" t="n">
        <x:v>0.07</x:v>
      </x:c>
      <x:c r="U102" s="99" t="n">
        <x:f>S102*(1+T102)</x:f>
        <x:v>70.299</x:v>
      </x:c>
      <x:c r="V102" s="99" t="n">
        <x:f>S102</x:f>
        <x:v>65.7</x:v>
      </x:c>
      <x:c r="W102" s="99" t="n">
        <x:f>V102-S102</x:f>
        <x:v>0</x:v>
      </x:c>
      <x:c r="X102" s="114" t="n">
        <x:f>IFERROR(W102/V102,0)</x:f>
        <x:v>0</x:v>
      </x:c>
      <x:c r="Y102" s="38" t="str">
        <x:v>Por unidad</x:v>
      </x:c>
      <x:c r="Z102" s="38" t="str">
        <x:f>IF(Y102="Botella / 3 instalaciones","Precio botella / 3",IF(Y102="Por rollo o metros proporcionales","Si se pasa rollo: rollo completo. Si se pasan metros: proporcional",Y102))</x:f>
        <x:v>Por unidad</x:v>
      </x:c>
      <x:c r="AA102" s="38" t="n">
        <x:v>1</x:v>
      </x:c>
      <x:c r="AB102" s="38" t="str"/>
      <x:c r="AC102" s="38" t="str"/>
      <x:c r="AD102" s="116" t="str">
        <x:v>2026-06-30</x:v>
      </x:c>
      <x:c r="AE102" s="38" t="str">
        <x:v>Sí</x:v>
      </x:c>
      <x:c r="AF102" s="38" t="str">
        <x:v>Revisar categoría antes de usar en cálculo automático.</x:v>
      </x:c>
    </x:row>
    <x:row r="103">
      <x:c r="A103" s="38" t="str">
        <x:v>MAT-0102</x:v>
      </x:c>
      <x:c r="B103" s="38" t="str">
        <x:v>Sí</x:v>
      </x:c>
      <x:c r="C103" s="38" t="str">
        <x:v>Sin clasificar</x:v>
      </x:c>
      <x:c r="D103" s="38" t="str"/>
      <x:c r="E103" s="38" t="str">
        <x:v>Filtro Marco Met. Miniplegado Servimini M-2R G01 F7 495*265*48 Mm</x:v>
      </x:c>
      <x:c r="F103" s="38" t="str">
        <x:v>FILTRO MARCO MET. MINIPLEGADO SERVIMINI M-2R G01 F7 495*265*48 MM</x:v>
      </x:c>
      <x:c r="G103" s="38" t="str">
        <x:v>CG-FILTRO-E</x:v>
      </x:c>
      <x:c r="H103" s="38" t="str">
        <x:v>Comercial Santana Alemán y González, S.L. (Grupo SAG)</x:v>
      </x:c>
      <x:c r="I103" s="38" t="str">
        <x:v>Factura FM/6631</x:v>
      </x:c>
      <x:c r="J103" s="115" t="str">
        <x:v>31/03/2026</x:v>
      </x:c>
      <x:c r="K103" s="38" t="str">
        <x:v>Albarán NT/26.000.673</x:v>
      </x:c>
      <x:c r="L103" s="38" t="n">
        <x:v>1</x:v>
      </x:c>
      <x:c r="M103" s="38" t="str">
        <x:v>Unidad</x:v>
      </x:c>
      <x:c r="N103" s="38" t="n">
        <x:v>1</x:v>
      </x:c>
      <x:c r="O103" s="38" t="str">
        <x:v>Unidad</x:v>
      </x:c>
      <x:c r="P103" s="99" t="n">
        <x:v>45.7</x:v>
      </x:c>
      <x:c r="Q103" s="114" t="n">
        <x:v>0</x:v>
      </x:c>
      <x:c r="R103" s="99" t="n">
        <x:v>45.7</x:v>
      </x:c>
      <x:c r="S103" s="99" t="n">
        <x:f>IFERROR(R103/L103,P103*(1-Q103))</x:f>
        <x:v>45.7</x:v>
      </x:c>
      <x:c r="T103" s="114" t="n">
        <x:v>0.07</x:v>
      </x:c>
      <x:c r="U103" s="99" t="n">
        <x:f>S103*(1+T103)</x:f>
        <x:v>48.89900000000001</x:v>
      </x:c>
      <x:c r="V103" s="99" t="n">
        <x:f>S103</x:f>
        <x:v>45.7</x:v>
      </x:c>
      <x:c r="W103" s="99" t="n">
        <x:f>V103-S103</x:f>
        <x:v>0</x:v>
      </x:c>
      <x:c r="X103" s="114" t="n">
        <x:f>IFERROR(W103/V103,0)</x:f>
        <x:v>0</x:v>
      </x:c>
      <x:c r="Y103" s="38" t="str">
        <x:v>Por unidad</x:v>
      </x:c>
      <x:c r="Z103" s="38" t="str">
        <x:f>IF(Y103="Botella / 3 instalaciones","Precio botella / 3",IF(Y103="Por rollo o metros proporcionales","Si se pasa rollo: rollo completo. Si se pasan metros: proporcional",Y103))</x:f>
        <x:v>Por unidad</x:v>
      </x:c>
      <x:c r="AA103" s="38" t="n">
        <x:v>1</x:v>
      </x:c>
      <x:c r="AB103" s="38" t="str"/>
      <x:c r="AC103" s="38" t="str"/>
      <x:c r="AD103" s="116" t="str">
        <x:v>2026-06-30</x:v>
      </x:c>
      <x:c r="AE103" s="38" t="str">
        <x:v>Sí</x:v>
      </x:c>
      <x:c r="AF103" s="38" t="str">
        <x:v>Revisar categoría antes de usar en cálculo automático.</x:v>
      </x:c>
    </x:row>
    <x:row r="104">
      <x:c r="A104" s="38" t="str">
        <x:v>MAT-0103</x:v>
      </x:c>
      <x:c r="B104" s="38" t="str">
        <x:v>Sí</x:v>
      </x:c>
      <x:c r="C104" s="38" t="str">
        <x:v>Sin clasificar</x:v>
      </x:c>
      <x:c r="D104" s="38" t="str"/>
      <x:c r="E104" s="38" t="str">
        <x:v>Filtro Marco Met. Miniplegado Servimini M-2R G01 F6 495*265*48 Mm</x:v>
      </x:c>
      <x:c r="F104" s="38" t="str">
        <x:v>FILTRO MARCO MET. MINIPLEGADO SERVIMINI M-2R G01 F6 495*265*48 MM</x:v>
      </x:c>
      <x:c r="G104" s="38" t="str">
        <x:v>CG-FILTRO-E</x:v>
      </x:c>
      <x:c r="H104" s="38" t="str">
        <x:v>Comercial Santana Alemán y González, S.L. (Grupo SAG)</x:v>
      </x:c>
      <x:c r="I104" s="38" t="str">
        <x:v>Factura FM/6631</x:v>
      </x:c>
      <x:c r="J104" s="115" t="str">
        <x:v>31/03/2026</x:v>
      </x:c>
      <x:c r="K104" s="38" t="str">
        <x:v>Albarán NT/26.000.673</x:v>
      </x:c>
      <x:c r="L104" s="38" t="n">
        <x:v>1</x:v>
      </x:c>
      <x:c r="M104" s="38" t="str">
        <x:v>Unidad</x:v>
      </x:c>
      <x:c r="N104" s="38" t="n">
        <x:v>1</x:v>
      </x:c>
      <x:c r="O104" s="38" t="str">
        <x:v>Unidad</x:v>
      </x:c>
      <x:c r="P104" s="99" t="n">
        <x:v>45.7</x:v>
      </x:c>
      <x:c r="Q104" s="114" t="n">
        <x:v>0</x:v>
      </x:c>
      <x:c r="R104" s="99" t="n">
        <x:v>45.7</x:v>
      </x:c>
      <x:c r="S104" s="99" t="n">
        <x:f>IFERROR(R104/L104,P104*(1-Q104))</x:f>
        <x:v>45.7</x:v>
      </x:c>
      <x:c r="T104" s="114" t="n">
        <x:v>0.07</x:v>
      </x:c>
      <x:c r="U104" s="99" t="n">
        <x:f>S104*(1+T104)</x:f>
        <x:v>48.89900000000001</x:v>
      </x:c>
      <x:c r="V104" s="99" t="n">
        <x:f>S104</x:f>
        <x:v>45.7</x:v>
      </x:c>
      <x:c r="W104" s="99" t="n">
        <x:f>V104-S104</x:f>
        <x:v>0</x:v>
      </x:c>
      <x:c r="X104" s="114" t="n">
        <x:f>IFERROR(W104/V104,0)</x:f>
        <x:v>0</x:v>
      </x:c>
      <x:c r="Y104" s="38" t="str">
        <x:v>Por unidad</x:v>
      </x:c>
      <x:c r="Z104" s="38" t="str">
        <x:f>IF(Y104="Botella / 3 instalaciones","Precio botella / 3",IF(Y104="Por rollo o metros proporcionales","Si se pasa rollo: rollo completo. Si se pasan metros: proporcional",Y104))</x:f>
        <x:v>Por unidad</x:v>
      </x:c>
      <x:c r="AA104" s="38" t="n">
        <x:v>1</x:v>
      </x:c>
      <x:c r="AB104" s="38" t="str"/>
      <x:c r="AC104" s="38" t="str"/>
      <x:c r="AD104" s="116" t="str">
        <x:v>2026-06-30</x:v>
      </x:c>
      <x:c r="AE104" s="38" t="str">
        <x:v>Sí</x:v>
      </x:c>
      <x:c r="AF104" s="38" t="str">
        <x:v>Revisar categoría antes de usar en cálculo automático.</x:v>
      </x:c>
    </x:row>
    <x:row r="105">
      <x:c r="A105" s="38" t="str">
        <x:v>MAT-0104</x:v>
      </x:c>
      <x:c r="B105" s="38" t="str">
        <x:v>Sí</x:v>
      </x:c>
      <x:c r="C105" s="38" t="str">
        <x:v>Conductos/Ventilación</x:v>
      </x:c>
      <x:c r="D105" s="38" t="str">
        <x:v>Conducto/accesorio</x:v>
      </x:c>
      <x:c r="E105" s="38" t="str">
        <x:v>Manguito Galvanizado De 200 Mm</x:v>
      </x:c>
      <x:c r="F105" s="38" t="str">
        <x:v>MANGUITO GALVANIZADO DE 200 MM</x:v>
      </x:c>
      <x:c r="G105" s="38" t="str">
        <x:v>CG-MAN-200</x:v>
      </x:c>
      <x:c r="H105" s="38" t="str">
        <x:v>Comercial Santana Alemán y González, S.L. (Grupo SAG)</x:v>
      </x:c>
      <x:c r="I105" s="38" t="str">
        <x:v>Factura FM/6631</x:v>
      </x:c>
      <x:c r="J105" s="115" t="str">
        <x:v>31/03/2026</x:v>
      </x:c>
      <x:c r="K105" s="38" t="str">
        <x:v>Albarán NT/26.000.673</x:v>
      </x:c>
      <x:c r="L105" s="38" t="n">
        <x:v>-2</x:v>
      </x:c>
      <x:c r="M105" s="38" t="str">
        <x:v>Unidad</x:v>
      </x:c>
      <x:c r="N105" s="38" t="n">
        <x:v>1</x:v>
      </x:c>
      <x:c r="O105" s="38" t="str">
        <x:v>Unidad</x:v>
      </x:c>
      <x:c r="P105" s="99" t="n">
        <x:v>5.998</x:v>
      </x:c>
      <x:c r="Q105" s="114" t="n">
        <x:v>0.5</x:v>
      </x:c>
      <x:c r="R105" s="99" t="n">
        <x:v>-6</x:v>
      </x:c>
      <x:c r="S105" s="99" t="n">
        <x:f>IFERROR(R105/L105,P105*(1-Q105))</x:f>
        <x:v>3</x:v>
      </x:c>
      <x:c r="T105" s="114" t="n">
        <x:v>0.07</x:v>
      </x:c>
      <x:c r="U105" s="99" t="n">
        <x:f>S105*(1+T105)</x:f>
        <x:v>3.21</x:v>
      </x:c>
      <x:c r="V105" s="99" t="n">
        <x:f>S105</x:f>
        <x:v>3</x:v>
      </x:c>
      <x:c r="W105" s="99" t="n">
        <x:f>V105-S105</x:f>
        <x:v>0</x:v>
      </x:c>
      <x:c r="X105" s="114" t="n">
        <x:f>IFERROR(W105/V105,0)</x:f>
        <x:v>0</x:v>
      </x:c>
      <x:c r="Y105" s="38" t="str">
        <x:v>Por unidad</x:v>
      </x:c>
      <x:c r="Z105" s="38" t="str">
        <x:f>IF(Y105="Botella / 3 instalaciones","Precio botella / 3",IF(Y105="Por rollo o metros proporcionales","Si se pasa rollo: rollo completo. Si se pasan metros: proporcional",Y105))</x:f>
        <x:v>Por unidad</x:v>
      </x:c>
      <x:c r="AA105" s="38" t="n">
        <x:v>1</x:v>
      </x:c>
      <x:c r="AB105" s="38" t="str"/>
      <x:c r="AC105" s="38" t="str"/>
      <x:c r="AD105" s="116" t="str">
        <x:v>2026-06-30</x:v>
      </x:c>
      <x:c r="AE105" s="38" t="str">
        <x:v>No</x:v>
      </x:c>
      <x:c r="AF105" s="38" t="str"/>
    </x:row>
    <x:row r="106">
      <x:c r="A106" s="38" t="str">
        <x:v>MAT-0105</x:v>
      </x:c>
      <x:c r="B106" s="38" t="str">
        <x:v>Sí</x:v>
      </x:c>
      <x:c r="C106" s="38" t="str">
        <x:v>Sin clasificar</x:v>
      </x:c>
      <x:c r="D106" s="38" t="str"/>
      <x:c r="E106" s="38" t="str">
        <x:v>Abraz. Rm8+M10-200</x:v>
      </x:c>
      <x:c r="F106" s="38" t="str">
        <x:v>ABRAZ. RM8+M10-200</x:v>
      </x:c>
      <x:c r="G106" s="38" t="str">
        <x:v>15580200</x:v>
      </x:c>
      <x:c r="H106" s="38" t="str">
        <x:v>Comercial Santana Alemán y González, S.L. (Grupo SAG)</x:v>
      </x:c>
      <x:c r="I106" s="38" t="str">
        <x:v>Factura FM/6631</x:v>
      </x:c>
      <x:c r="J106" s="115" t="str">
        <x:v>31/03/2026</x:v>
      </x:c>
      <x:c r="K106" s="38" t="str">
        <x:v>Albarán NT/26.000.673</x:v>
      </x:c>
      <x:c r="L106" s="38" t="n">
        <x:v>-4</x:v>
      </x:c>
      <x:c r="M106" s="38" t="str">
        <x:v>Unidad</x:v>
      </x:c>
      <x:c r="N106" s="38" t="n">
        <x:v>1</x:v>
      </x:c>
      <x:c r="O106" s="38" t="str">
        <x:v>Unidad</x:v>
      </x:c>
      <x:c r="P106" s="99" t="n">
        <x:v>3.08</x:v>
      </x:c>
      <x:c r="Q106" s="114" t="n">
        <x:v>0.55</x:v>
      </x:c>
      <x:c r="R106" s="99" t="n">
        <x:v>-5.54</x:v>
      </x:c>
      <x:c r="S106" s="99" t="n">
        <x:f>IFERROR(R106/L106,P106*(1-Q106))</x:f>
        <x:v>1.385</x:v>
      </x:c>
      <x:c r="T106" s="114" t="n">
        <x:v>0.07</x:v>
      </x:c>
      <x:c r="U106" s="99" t="n">
        <x:f>S106*(1+T106)</x:f>
        <x:v>1.48195</x:v>
      </x:c>
      <x:c r="V106" s="99" t="n">
        <x:f>S106</x:f>
        <x:v>1.385</x:v>
      </x:c>
      <x:c r="W106" s="99" t="n">
        <x:f>V106-S106</x:f>
        <x:v>0</x:v>
      </x:c>
      <x:c r="X106" s="114" t="n">
        <x:f>IFERROR(W106/V106,0)</x:f>
        <x:v>0</x:v>
      </x:c>
      <x:c r="Y106" s="38" t="str">
        <x:v>Por unidad</x:v>
      </x:c>
      <x:c r="Z106" s="38" t="str">
        <x:f>IF(Y106="Botella / 3 instalaciones","Precio botella / 3",IF(Y106="Por rollo o metros proporcionales","Si se pasa rollo: rollo completo. Si se pasan metros: proporcional",Y106))</x:f>
        <x:v>Por unidad</x:v>
      </x:c>
      <x:c r="AA106" s="38" t="n">
        <x:v>1</x:v>
      </x:c>
      <x:c r="AB106" s="38" t="str"/>
      <x:c r="AC106" s="38" t="str"/>
      <x:c r="AD106" s="116" t="str">
        <x:v>2026-06-30</x:v>
      </x:c>
      <x:c r="AE106" s="38" t="str">
        <x:v>Sí</x:v>
      </x:c>
      <x:c r="AF106" s="38" t="str">
        <x:v>Revisar categoría antes de usar en cálculo automático.</x:v>
      </x:c>
    </x:row>
    <x:row r="107">
      <x:c r="A107" s="38" t="str">
        <x:v>MAT-0106</x:v>
      </x:c>
      <x:c r="B107" s="38" t="str">
        <x:v>Sí</x:v>
      </x:c>
      <x:c r="C107" s="38" t="str">
        <x:v>Tubería frigorífica</x:v>
      </x:c>
      <x:c r="D107" s="38" t="str">
        <x:v>Cobre frigorífico aislado</x:v>
      </x:c>
      <x:c r="E107" s="38" t="str">
        <x:v>Rollo Tuberia De Cobre Preaislado Bitubo 1/4 X 3/8 20 M.</x:v>
      </x:c>
      <x:c r="F107" s="38" t="str">
        <x:v>ROLLO TUBERIA DE COBRE PREAISLADO BITUBO 1/4 X 3/8 20 M.</x:v>
      </x:c>
      <x:c r="G107" s="38" t="str">
        <x:v>4002053</x:v>
      </x:c>
      <x:c r="H107" s="38" t="str">
        <x:v>Comercial Santana Alemán y González, S.L. (Grupo SAG)</x:v>
      </x:c>
      <x:c r="I107" s="38" t="str">
        <x:v>Factura FM/6631</x:v>
      </x:c>
      <x:c r="J107" s="115" t="str">
        <x:v>31/03/2026</x:v>
      </x:c>
      <x:c r="K107" s="38" t="str">
        <x:v>Albarán NT/26.000.673</x:v>
      </x:c>
      <x:c r="L107" s="38" t="n">
        <x:v>2</x:v>
      </x:c>
      <x:c r="M107" s="38" t="str">
        <x:v>Rollo</x:v>
      </x:c>
      <x:c r="N107" s="38" t="n">
        <x:v>20</x:v>
      </x:c>
      <x:c r="O107" s="38" t="str">
        <x:v>Metro</x:v>
      </x:c>
      <x:c r="P107" s="99" t="n">
        <x:v>110</x:v>
      </x:c>
      <x:c r="Q107" s="114" t="n">
        <x:v>0</x:v>
      </x:c>
      <x:c r="R107" s="99" t="n">
        <x:v>220</x:v>
      </x:c>
      <x:c r="S107" s="99" t="n">
        <x:f>IFERROR(R107/L107,P107*(1-Q107))</x:f>
        <x:v>110</x:v>
      </x:c>
      <x:c r="T107" s="114" t="n">
        <x:v>0.07</x:v>
      </x:c>
      <x:c r="U107" s="99" t="n">
        <x:f>S107*(1+T107)</x:f>
        <x:v>117.7</x:v>
      </x:c>
      <x:c r="V107" s="99" t="n">
        <x:f>S107</x:f>
        <x:v>110</x:v>
      </x:c>
      <x:c r="W107" s="99" t="n">
        <x:f>V107-S107</x:f>
        <x:v>0</x:v>
      </x:c>
      <x:c r="X107" s="114" t="n">
        <x:f>IFERROR(W107/V107,0)</x:f>
        <x:v>0</x:v>
      </x:c>
      <x:c r="Y107" s="38" t="str">
        <x:v>Por rollo o metros proporcionales</x:v>
      </x:c>
      <x:c r="Z107" s="38" t="str">
        <x:f>IF(Y107="Botella / 3 instalaciones","Precio botella / 3",IF(Y107="Por rollo o metros proporcionales","Si se pasa rollo: rollo completo. Si se pasan metros: proporcional",Y107))</x:f>
        <x:v>Si se pasa rollo: rollo completo. Si se pasan metros: proporcional</x:v>
      </x:c>
      <x:c r="AA107" s="38" t="n">
        <x:v>20</x:v>
      </x:c>
      <x:c r="AB107" s="38" t="str">
        <x:v>Sánchez Arencibia, S.A.</x:v>
      </x:c>
      <x:c r="AC107" s="38" t="str">
        <x:v>Alta</x:v>
      </x:c>
      <x:c r="AD107" s="116" t="str">
        <x:v>2026-06-30</x:v>
      </x:c>
      <x:c r="AE107" s="38" t="str">
        <x:v>No</x:v>
      </x:c>
      <x:c r="AF107" s="38" t="str"/>
    </x:row>
    <x:row r="108">
      <x:c r="A108" s="38" t="str">
        <x:v>MAT-0107</x:v>
      </x:c>
      <x:c r="B108" s="38" t="str">
        <x:v>Sí</x:v>
      </x:c>
      <x:c r="C108" s="38" t="str">
        <x:v>Conductos/Ventilación</x:v>
      </x:c>
      <x:c r="D108" s="38" t="str">
        <x:v>Conducto/accesorio</x:v>
      </x:c>
      <x:c r="E108" s="38" t="str">
        <x:v>Rejilla De Lamas Orientables Simple Deflexion Mh 500*300 (Clip De Sujecion)</x:v>
      </x:c>
      <x:c r="F108" s="38" t="str">
        <x:v>REJILLA DE LAMAS ORIENTABLES SIMPLE DEFLEXION MH 500*300 (CLIP DE SUJECION)</x:v>
      </x:c>
      <x:c r="G108" s="38" t="str">
        <x:v>DF-MH-500300</x:v>
      </x:c>
      <x:c r="H108" s="38" t="str">
        <x:v>Comercial Santana Alemán y González, S.L. (Grupo SAG)</x:v>
      </x:c>
      <x:c r="I108" s="38" t="str">
        <x:v>Presupuesto TF/26001807</x:v>
      </x:c>
      <x:c r="J108" s="115" t="str">
        <x:v>25/05/2026</x:v>
      </x:c>
      <x:c r="K108" s="38" t="str">
        <x:v>INDEX CLIMA MPC, S.L.</x:v>
      </x:c>
      <x:c r="L108" s="38" t="n">
        <x:v>25</x:v>
      </x:c>
      <x:c r="M108" s="38" t="str">
        <x:v>Unidad</x:v>
      </x:c>
      <x:c r="N108" s="38" t="n">
        <x:v>1</x:v>
      </x:c>
      <x:c r="O108" s="38" t="str">
        <x:v>Unidad</x:v>
      </x:c>
      <x:c r="P108" s="99" t="n">
        <x:v>34.06</x:v>
      </x:c>
      <x:c r="Q108" s="114" t="n">
        <x:v>0.4</x:v>
      </x:c>
      <x:c r="R108" s="99" t="n">
        <x:v>510.9</x:v>
      </x:c>
      <x:c r="S108" s="99" t="n">
        <x:f>IFERROR(R108/L108,P108*(1-Q108))</x:f>
        <x:v>20.436</x:v>
      </x:c>
      <x:c r="T108" s="114" t="n">
        <x:v>0.07</x:v>
      </x:c>
      <x:c r="U108" s="99" t="n">
        <x:f>S108*(1+T108)</x:f>
        <x:v>21.86652</x:v>
      </x:c>
      <x:c r="V108" s="99" t="n">
        <x:f>S108</x:f>
        <x:v>20.436</x:v>
      </x:c>
      <x:c r="W108" s="99" t="n">
        <x:f>V108-S108</x:f>
        <x:v>0</x:v>
      </x:c>
      <x:c r="X108" s="114" t="n">
        <x:f>IFERROR(W108/V108,0)</x:f>
        <x:v>0</x:v>
      </x:c>
      <x:c r="Y108" s="38" t="str">
        <x:v>Por unidad</x:v>
      </x:c>
      <x:c r="Z108" s="38" t="str">
        <x:f>IF(Y108="Botella / 3 instalaciones","Precio botella / 3",IF(Y108="Por rollo o metros proporcionales","Si se pasa rollo: rollo completo. Si se pasan metros: proporcional",Y108))</x:f>
        <x:v>Por unidad</x:v>
      </x:c>
      <x:c r="AA108" s="38" t="n">
        <x:v>1</x:v>
      </x:c>
      <x:c r="AB108" s="38" t="str"/>
      <x:c r="AC108" s="38" t="str"/>
      <x:c r="AD108" s="116" t="str">
        <x:v>2026-06-30</x:v>
      </x:c>
      <x:c r="AE108" s="38" t="str">
        <x:v>No</x:v>
      </x:c>
      <x:c r="AF108" s="38" t="str"/>
    </x:row>
    <x:row r="109">
      <x:c r="A109" s="38" t="str">
        <x:v>MAT-0108</x:v>
      </x:c>
      <x:c r="B109" s="38" t="str">
        <x:v>Sí</x:v>
      </x:c>
      <x:c r="C109" s="38" t="str">
        <x:v>Conductos/Ventilación</x:v>
      </x:c>
      <x:c r="D109" s="38" t="str">
        <x:v>Conducto/accesorio</x:v>
      </x:c>
      <x:c r="E109" s="38" t="str">
        <x:v>Rejilla De Lamas Fijas A 45º Rrf 500*300 (Perforada)</x:v>
      </x:c>
      <x:c r="F109" s="38" t="str">
        <x:v>REJILLA DE LAMAS FIJAS A 45º RRF 500*300 (PERFORADA)</x:v>
      </x:c>
      <x:c r="G109" s="38" t="str">
        <x:v>DF-RRF-500300</x:v>
      </x:c>
      <x:c r="H109" s="38" t="str">
        <x:v>Comercial Santana Alemán y González, S.L. (Grupo SAG)</x:v>
      </x:c>
      <x:c r="I109" s="38" t="str">
        <x:v>Presupuesto TF/26001807</x:v>
      </x:c>
      <x:c r="J109" s="115" t="str">
        <x:v>25/05/2026</x:v>
      </x:c>
      <x:c r="K109" s="38" t="str">
        <x:v>INDEX CLIMA MPC, S.L.</x:v>
      </x:c>
      <x:c r="L109" s="38" t="n">
        <x:v>16</x:v>
      </x:c>
      <x:c r="M109" s="38" t="str">
        <x:v>Unidad</x:v>
      </x:c>
      <x:c r="N109" s="38" t="n">
        <x:v>1</x:v>
      </x:c>
      <x:c r="O109" s="38" t="str">
        <x:v>Unidad</x:v>
      </x:c>
      <x:c r="P109" s="99" t="n">
        <x:v>37.47</x:v>
      </x:c>
      <x:c r="Q109" s="114" t="n">
        <x:v>0.4</x:v>
      </x:c>
      <x:c r="R109" s="99" t="n">
        <x:v>359.71</x:v>
      </x:c>
      <x:c r="S109" s="99" t="n">
        <x:f>IFERROR(R109/L109,P109*(1-Q109))</x:f>
        <x:v>22.481875</x:v>
      </x:c>
      <x:c r="T109" s="114" t="n">
        <x:v>0.07</x:v>
      </x:c>
      <x:c r="U109" s="99" t="n">
        <x:f>S109*(1+T109)</x:f>
        <x:v>24.05560625</x:v>
      </x:c>
      <x:c r="V109" s="99" t="n">
        <x:f>S109</x:f>
        <x:v>22.481875</x:v>
      </x:c>
      <x:c r="W109" s="99" t="n">
        <x:f>V109-S109</x:f>
        <x:v>0</x:v>
      </x:c>
      <x:c r="X109" s="114" t="n">
        <x:f>IFERROR(W109/V109,0)</x:f>
        <x:v>0</x:v>
      </x:c>
      <x:c r="Y109" s="38" t="str">
        <x:v>Por unidad</x:v>
      </x:c>
      <x:c r="Z109" s="38" t="str">
        <x:f>IF(Y109="Botella / 3 instalaciones","Precio botella / 3",IF(Y109="Por rollo o metros proporcionales","Si se pasa rollo: rollo completo. Si se pasan metros: proporcional",Y109))</x:f>
        <x:v>Por unidad</x:v>
      </x:c>
      <x:c r="AA109" s="38" t="n">
        <x:v>1</x:v>
      </x:c>
      <x:c r="AB109" s="38" t="str"/>
      <x:c r="AC109" s="38" t="str"/>
      <x:c r="AD109" s="116" t="str">
        <x:v>2026-06-30</x:v>
      </x:c>
      <x:c r="AE109" s="38" t="str">
        <x:v>No</x:v>
      </x:c>
      <x:c r="AF109" s="38" t="str"/>
    </x:row>
    <x:row r="110">
      <x:c r="A110" s="38" t="str">
        <x:v>MAT-0109</x:v>
      </x:c>
      <x:c r="B110" s="38" t="str">
        <x:v>Sí</x:v>
      </x:c>
      <x:c r="C110" s="38" t="str">
        <x:v>Conductos/Ventilación</x:v>
      </x:c>
      <x:c r="D110" s="38" t="str">
        <x:v>Conducto/accesorio</x:v>
      </x:c>
      <x:c r="E110" s="38" t="str">
        <x:v>Liston Metalico Para Rejilla Mod. Mr-500</x:v>
      </x:c>
      <x:c r="F110" s="38" t="str">
        <x:v>LISTON METALICO PARA REJILLA MOD. MR-500</x:v>
      </x:c>
      <x:c r="G110" s="38" t="str">
        <x:v>DF-MR-00500</x:v>
      </x:c>
      <x:c r="H110" s="38" t="str">
        <x:v>Comercial Santana Alemán y González, S.L. (Grupo SAG)</x:v>
      </x:c>
      <x:c r="I110" s="38" t="str">
        <x:v>Presupuesto TF/26001807</x:v>
      </x:c>
      <x:c r="J110" s="115" t="str">
        <x:v>25/05/2026</x:v>
      </x:c>
      <x:c r="K110" s="38" t="str">
        <x:v>INDEX CLIMA MPC, S.L.</x:v>
      </x:c>
      <x:c r="L110" s="38" t="n">
        <x:v>50</x:v>
      </x:c>
      <x:c r="M110" s="38" t="str">
        <x:v>Unidad</x:v>
      </x:c>
      <x:c r="N110" s="38" t="n">
        <x:v>1</x:v>
      </x:c>
      <x:c r="O110" s="38" t="str">
        <x:v>Unidad</x:v>
      </x:c>
      <x:c r="P110" s="99" t="n">
        <x:v>2.35</x:v>
      </x:c>
      <x:c r="Q110" s="114" t="n">
        <x:v>0.4</x:v>
      </x:c>
      <x:c r="R110" s="99" t="n">
        <x:v>70.5</x:v>
      </x:c>
      <x:c r="S110" s="99" t="n">
        <x:f>IFERROR(R110/L110,P110*(1-Q110))</x:f>
        <x:v>1.41</x:v>
      </x:c>
      <x:c r="T110" s="114" t="n">
        <x:v>0.07</x:v>
      </x:c>
      <x:c r="U110" s="99" t="n">
        <x:f>S110*(1+T110)</x:f>
        <x:v>1.5087</x:v>
      </x:c>
      <x:c r="V110" s="99" t="n">
        <x:f>S110</x:f>
        <x:v>1.41</x:v>
      </x:c>
      <x:c r="W110" s="99" t="n">
        <x:f>V110-S110</x:f>
        <x:v>0</x:v>
      </x:c>
      <x:c r="X110" s="114" t="n">
        <x:f>IFERROR(W110/V110,0)</x:f>
        <x:v>0</x:v>
      </x:c>
      <x:c r="Y110" s="38" t="str">
        <x:v>Por unidad</x:v>
      </x:c>
      <x:c r="Z110" s="38" t="str">
        <x:f>IF(Y110="Botella / 3 instalaciones","Precio botella / 3",IF(Y110="Por rollo o metros proporcionales","Si se pasa rollo: rollo completo. Si se pasan metros: proporcional",Y110))</x:f>
        <x:v>Por unidad</x:v>
      </x:c>
      <x:c r="AA110" s="38" t="n">
        <x:v>1</x:v>
      </x:c>
      <x:c r="AB110" s="38" t="str"/>
      <x:c r="AC110" s="38" t="str"/>
      <x:c r="AD110" s="116" t="str">
        <x:v>2026-06-30</x:v>
      </x:c>
      <x:c r="AE110" s="38" t="str">
        <x:v>No</x:v>
      </x:c>
      <x:c r="AF110" s="38" t="str"/>
    </x:row>
    <x:row r="111">
      <x:c r="A111" s="38" t="str">
        <x:v>MAT-0110</x:v>
      </x:c>
      <x:c r="B111" s="38" t="str">
        <x:v>Sí</x:v>
      </x:c>
      <x:c r="C111" s="38" t="str">
        <x:v>Conductos/Ventilación</x:v>
      </x:c>
      <x:c r="D111" s="38" t="str">
        <x:v>Conducto/accesorio</x:v>
      </x:c>
      <x:c r="E111" s="38" t="str">
        <x:v>Liston Metalico Para Rejilla Mod. Mr-300</x:v>
      </x:c>
      <x:c r="F111" s="38" t="str">
        <x:v>LISTON METALICO PARA REJILLA MOD. MR-300</x:v>
      </x:c>
      <x:c r="G111" s="38" t="str">
        <x:v>DF-MR-00300</x:v>
      </x:c>
      <x:c r="H111" s="38" t="str">
        <x:v>Comercial Santana Alemán y González, S.L. (Grupo SAG)</x:v>
      </x:c>
      <x:c r="I111" s="38" t="str">
        <x:v>Presupuesto TF/26001807</x:v>
      </x:c>
      <x:c r="J111" s="115" t="str">
        <x:v>25/05/2026</x:v>
      </x:c>
      <x:c r="K111" s="38" t="str">
        <x:v>INDEX CLIMA MPC, S.L.</x:v>
      </x:c>
      <x:c r="L111" s="38" t="n">
        <x:v>50</x:v>
      </x:c>
      <x:c r="M111" s="38" t="str">
        <x:v>Unidad</x:v>
      </x:c>
      <x:c r="N111" s="38" t="n">
        <x:v>1</x:v>
      </x:c>
      <x:c r="O111" s="38" t="str">
        <x:v>Unidad</x:v>
      </x:c>
      <x:c r="P111" s="99" t="n">
        <x:v>1.75</x:v>
      </x:c>
      <x:c r="Q111" s="114" t="n">
        <x:v>0.4</x:v>
      </x:c>
      <x:c r="R111" s="99" t="n">
        <x:v>52.5</x:v>
      </x:c>
      <x:c r="S111" s="99" t="n">
        <x:f>IFERROR(R111/L111,P111*(1-Q111))</x:f>
        <x:v>1.05</x:v>
      </x:c>
      <x:c r="T111" s="114" t="n">
        <x:v>0.07</x:v>
      </x:c>
      <x:c r="U111" s="99" t="n">
        <x:f>S111*(1+T111)</x:f>
        <x:v>1.1235000000000002</x:v>
      </x:c>
      <x:c r="V111" s="99" t="n">
        <x:f>S111</x:f>
        <x:v>1.05</x:v>
      </x:c>
      <x:c r="W111" s="99" t="n">
        <x:f>V111-S111</x:f>
        <x:v>0</x:v>
      </x:c>
      <x:c r="X111" s="114" t="n">
        <x:f>IFERROR(W111/V111,0)</x:f>
        <x:v>0</x:v>
      </x:c>
      <x:c r="Y111" s="38" t="str">
        <x:v>Por unidad</x:v>
      </x:c>
      <x:c r="Z111" s="38" t="str">
        <x:f>IF(Y111="Botella / 3 instalaciones","Precio botella / 3",IF(Y111="Por rollo o metros proporcionales","Si se pasa rollo: rollo completo. Si se pasan metros: proporcional",Y111))</x:f>
        <x:v>Por unidad</x:v>
      </x:c>
      <x:c r="AA111" s="38" t="n">
        <x:v>1</x:v>
      </x:c>
      <x:c r="AB111" s="38" t="str"/>
      <x:c r="AC111" s="38" t="str"/>
      <x:c r="AD111" s="116" t="str">
        <x:v>2026-06-30</x:v>
      </x:c>
      <x:c r="AE111" s="38" t="str">
        <x:v>No</x:v>
      </x:c>
      <x:c r="AF111" s="38" t="str"/>
    </x:row>
    <x:row r="112">
      <x:c r="A112" s="38" t="str">
        <x:v>MAT-0111</x:v>
      </x:c>
      <x:c r="B112" s="38" t="str">
        <x:v>Sí</x:v>
      </x:c>
      <x:c r="C112" s="38" t="str">
        <x:v>Sin clasificar</x:v>
      </x:c>
      <x:c r="D112" s="38" t="str"/>
      <x:c r="E112" s="38" t="str">
        <x:v>Ml Tubo Helicoidal Galva Marca Sag De 125 Mm (3 Metros)</x:v>
      </x:c>
      <x:c r="F112" s="38" t="str">
        <x:v>ML TUBO HELICOIDAL GALVA MARCA SAG DE 125 MM (3 METROS)</x:v>
      </x:c>
      <x:c r="G112" s="38" t="str">
        <x:v>CG-THG-0125</x:v>
      </x:c>
      <x:c r="H112" s="38" t="str">
        <x:v>Comercial Santana Alemán y González, S.L. (Grupo SAG)</x:v>
      </x:c>
      <x:c r="I112" s="38" t="str">
        <x:v>Factura FM/5127</x:v>
      </x:c>
      <x:c r="J112" s="115" t="str">
        <x:v>30/06/2025</x:v>
      </x:c>
      <x:c r="K112" s="38" t="str">
        <x:v>Albarán NT/25.001.720</x:v>
      </x:c>
      <x:c r="L112" s="38" t="n">
        <x:v>12</x:v>
      </x:c>
      <x:c r="M112" s="38" t="str">
        <x:v>Unidad</x:v>
      </x:c>
      <x:c r="N112" s="38" t="n">
        <x:v>1</x:v>
      </x:c>
      <x:c r="O112" s="38" t="str">
        <x:v>Unidad</x:v>
      </x:c>
      <x:c r="P112" s="99" t="n">
        <x:v>11.1</x:v>
      </x:c>
      <x:c r="Q112" s="114" t="n">
        <x:v>0.5</x:v>
      </x:c>
      <x:c r="R112" s="99" t="n">
        <x:v>66.6</x:v>
      </x:c>
      <x:c r="S112" s="99" t="n">
        <x:f>IFERROR(R112/L112,P112*(1-Q112))</x:f>
        <x:v>5.55</x:v>
      </x:c>
      <x:c r="T112" s="114" t="n">
        <x:v>0.07</x:v>
      </x:c>
      <x:c r="U112" s="99" t="n">
        <x:f>S112*(1+T112)</x:f>
        <x:v>5.9385</x:v>
      </x:c>
      <x:c r="V112" s="99" t="n">
        <x:f>S112</x:f>
        <x:v>5.55</x:v>
      </x:c>
      <x:c r="W112" s="99" t="n">
        <x:f>V112-S112</x:f>
        <x:v>0</x:v>
      </x:c>
      <x:c r="X112" s="114" t="n">
        <x:f>IFERROR(W112/V112,0)</x:f>
        <x:v>0</x:v>
      </x:c>
      <x:c r="Y112" s="38" t="str">
        <x:v>Por unidad</x:v>
      </x:c>
      <x:c r="Z112" s="38" t="str">
        <x:f>IF(Y112="Botella / 3 instalaciones","Precio botella / 3",IF(Y112="Por rollo o metros proporcionales","Si se pasa rollo: rollo completo. Si se pasan metros: proporcional",Y112))</x:f>
        <x:v>Por unidad</x:v>
      </x:c>
      <x:c r="AA112" s="38" t="n">
        <x:v>1</x:v>
      </x:c>
      <x:c r="AB112" s="38" t="str"/>
      <x:c r="AC112" s="38" t="str"/>
      <x:c r="AD112" s="116" t="str">
        <x:v>2026-06-30</x:v>
      </x:c>
      <x:c r="AE112" s="38" t="str">
        <x:v>Sí</x:v>
      </x:c>
      <x:c r="AF112" s="38" t="str">
        <x:v>Revisar categoría antes de usar en cálculo automático.</x:v>
      </x:c>
    </x:row>
    <x:row r="113">
      <x:c r="A113" s="38" t="str">
        <x:v>MAT-0112</x:v>
      </x:c>
      <x:c r="B113" s="38" t="str">
        <x:v>Sí</x:v>
      </x:c>
      <x:c r="C113" s="38" t="str">
        <x:v>Conductos/Ventilación</x:v>
      </x:c>
      <x:c r="D113" s="38" t="str">
        <x:v>Conducto/accesorio</x:v>
      </x:c>
      <x:c r="E113" s="38" t="str">
        <x:v>Manguito Galvanizado De 125 Mm</x:v>
      </x:c>
      <x:c r="F113" s="38" t="str">
        <x:v>MANGUITO GALVANIZADO DE 125 MM</x:v>
      </x:c>
      <x:c r="G113" s="38" t="str">
        <x:v>CG-MAN-125</x:v>
      </x:c>
      <x:c r="H113" s="38" t="str">
        <x:v>Comercial Santana Alemán y González, S.L. (Grupo SAG)</x:v>
      </x:c>
      <x:c r="I113" s="38" t="str">
        <x:v>Factura FM/5127</x:v>
      </x:c>
      <x:c r="J113" s="115" t="str">
        <x:v>30/06/2025</x:v>
      </x:c>
      <x:c r="K113" s="38" t="str">
        <x:v>Albarán NT/25.001.720</x:v>
      </x:c>
      <x:c r="L113" s="38" t="n">
        <x:v>3</x:v>
      </x:c>
      <x:c r="M113" s="38" t="str">
        <x:v>Unidad</x:v>
      </x:c>
      <x:c r="N113" s="38" t="n">
        <x:v>1</x:v>
      </x:c>
      <x:c r="O113" s="38" t="str">
        <x:v>Unidad</x:v>
      </x:c>
      <x:c r="P113" s="99" t="n">
        <x:v>4.116</x:v>
      </x:c>
      <x:c r="Q113" s="114" t="n">
        <x:v>0.5</x:v>
      </x:c>
      <x:c r="R113" s="99" t="n">
        <x:v>6.17</x:v>
      </x:c>
      <x:c r="S113" s="99" t="n">
        <x:f>IFERROR(R113/L113,P113*(1-Q113))</x:f>
        <x:v>2.0566666666666666</x:v>
      </x:c>
      <x:c r="T113" s="114" t="n">
        <x:v>0.07</x:v>
      </x:c>
      <x:c r="U113" s="99" t="n">
        <x:f>S113*(1+T113)</x:f>
        <x:v>2.200633333333333</x:v>
      </x:c>
      <x:c r="V113" s="99" t="n">
        <x:f>S113</x:f>
        <x:v>2.0566666666666666</x:v>
      </x:c>
      <x:c r="W113" s="99" t="n">
        <x:f>V113-S113</x:f>
        <x:v>0</x:v>
      </x:c>
      <x:c r="X113" s="114" t="n">
        <x:f>IFERROR(W113/V113,0)</x:f>
        <x:v>0</x:v>
      </x:c>
      <x:c r="Y113" s="38" t="str">
        <x:v>Por unidad</x:v>
      </x:c>
      <x:c r="Z113" s="38" t="str">
        <x:f>IF(Y113="Botella / 3 instalaciones","Precio botella / 3",IF(Y113="Por rollo o metros proporcionales","Si se pasa rollo: rollo completo. Si se pasan metros: proporcional",Y113))</x:f>
        <x:v>Por unidad</x:v>
      </x:c>
      <x:c r="AA113" s="38" t="n">
        <x:v>1</x:v>
      </x:c>
      <x:c r="AB113" s="38" t="str"/>
      <x:c r="AC113" s="38" t="str"/>
      <x:c r="AD113" s="116" t="str">
        <x:v>2026-06-30</x:v>
      </x:c>
      <x:c r="AE113" s="38" t="str">
        <x:v>No</x:v>
      </x:c>
      <x:c r="AF113" s="38" t="str"/>
    </x:row>
    <x:row r="114">
      <x:c r="A114" s="38" t="str">
        <x:v>MAT-0113</x:v>
      </x:c>
      <x:c r="B114" s="38" t="str">
        <x:v>Sí</x:v>
      </x:c>
      <x:c r="C114" s="38" t="str">
        <x:v>Sin clasificar</x:v>
      </x:c>
      <x:c r="D114" s="38" t="str"/>
      <x:c r="E114" s="38" t="str">
        <x:v>Abraz. Rm8+M10-125 (4 1/2")</x:v>
      </x:c>
      <x:c r="F114" s="38" t="str">
        <x:v>ABRAZ. RM8+M10-125 (4 1/2")</x:v>
      </x:c>
      <x:c r="G114" s="38" t="str">
        <x:v>15580125</x:v>
      </x:c>
      <x:c r="H114" s="38" t="str">
        <x:v>Comercial Santana Alemán y González, S.L. (Grupo SAG)</x:v>
      </x:c>
      <x:c r="I114" s="38" t="str">
        <x:v>Factura FM/5127</x:v>
      </x:c>
      <x:c r="J114" s="115" t="str">
        <x:v>30/06/2025</x:v>
      </x:c>
      <x:c r="K114" s="38" t="str">
        <x:v>Albarán NT/25.001.720</x:v>
      </x:c>
      <x:c r="L114" s="38" t="n">
        <x:v>8</x:v>
      </x:c>
      <x:c r="M114" s="38" t="str">
        <x:v>Unidad</x:v>
      </x:c>
      <x:c r="N114" s="38" t="n">
        <x:v>1</x:v>
      </x:c>
      <x:c r="O114" s="38" t="str">
        <x:v>Unidad</x:v>
      </x:c>
      <x:c r="P114" s="99" t="n">
        <x:v>1.584</x:v>
      </x:c>
      <x:c r="Q114" s="114" t="n">
        <x:v>0.45</x:v>
      </x:c>
      <x:c r="R114" s="99" t="n">
        <x:v>6.97</x:v>
      </x:c>
      <x:c r="S114" s="99" t="n">
        <x:f>IFERROR(R114/L114,P114*(1-Q114))</x:f>
        <x:v>0.87125</x:v>
      </x:c>
      <x:c r="T114" s="114" t="n">
        <x:v>0.07</x:v>
      </x:c>
      <x:c r="U114" s="99" t="n">
        <x:f>S114*(1+T114)</x:f>
        <x:v>0.9322375</x:v>
      </x:c>
      <x:c r="V114" s="99" t="n">
        <x:f>S114</x:f>
        <x:v>0.87125</x:v>
      </x:c>
      <x:c r="W114" s="99" t="n">
        <x:f>V114-S114</x:f>
        <x:v>0</x:v>
      </x:c>
      <x:c r="X114" s="114" t="n">
        <x:f>IFERROR(W114/V114,0)</x:f>
        <x:v>0</x:v>
      </x:c>
      <x:c r="Y114" s="38" t="str">
        <x:v>Por unidad</x:v>
      </x:c>
      <x:c r="Z114" s="38" t="str">
        <x:f>IF(Y114="Botella / 3 instalaciones","Precio botella / 3",IF(Y114="Por rollo o metros proporcionales","Si se pasa rollo: rollo completo. Si se pasan metros: proporcional",Y114))</x:f>
        <x:v>Por unidad</x:v>
      </x:c>
      <x:c r="AA114" s="38" t="n">
        <x:v>1</x:v>
      </x:c>
      <x:c r="AB114" s="38" t="str"/>
      <x:c r="AC114" s="38" t="str"/>
      <x:c r="AD114" s="116" t="str">
        <x:v>2026-06-30</x:v>
      </x:c>
      <x:c r="AE114" s="38" t="str">
        <x:v>Sí</x:v>
      </x:c>
      <x:c r="AF114" s="38" t="str">
        <x:v>Revisar categoría antes de usar en cálculo automático.</x:v>
      </x:c>
    </x:row>
    <x:row r="115">
      <x:c r="A115" s="38" t="str">
        <x:v>MAT-0114</x:v>
      </x:c>
      <x:c r="B115" s="38" t="str">
        <x:v>Sí</x:v>
      </x:c>
      <x:c r="C115" s="38" t="str">
        <x:v>Conductos/Ventilación</x:v>
      </x:c>
      <x:c r="D115" s="38" t="str">
        <x:v>Conducto/accesorio</x:v>
      </x:c>
      <x:c r="E115" s="38" t="str">
        <x:v>Reduccion Galvanizada De 125 A 100 Mm</x:v>
      </x:c>
      <x:c r="F115" s="38" t="str">
        <x:v>REDUCCION GALVANIZADA DE 125 A 100 MM</x:v>
      </x:c>
      <x:c r="G115" s="38" t="str">
        <x:v>CG-RD-125100</x:v>
      </x:c>
      <x:c r="H115" s="38" t="str">
        <x:v>Comercial Santana Alemán y González, S.L. (Grupo SAG)</x:v>
      </x:c>
      <x:c r="I115" s="38" t="str">
        <x:v>Factura FM/5127</x:v>
      </x:c>
      <x:c r="J115" s="115" t="str">
        <x:v>30/06/2025</x:v>
      </x:c>
      <x:c r="K115" s="38" t="str">
        <x:v>Albarán NT/25.001.720</x:v>
      </x:c>
      <x:c r="L115" s="38" t="n">
        <x:v>1</x:v>
      </x:c>
      <x:c r="M115" s="38" t="str">
        <x:v>Unidad</x:v>
      </x:c>
      <x:c r="N115" s="38" t="n">
        <x:v>1</x:v>
      </x:c>
      <x:c r="O115" s="38" t="str">
        <x:v>Unidad</x:v>
      </x:c>
      <x:c r="P115" s="99" t="n">
        <x:v>6.04</x:v>
      </x:c>
      <x:c r="Q115" s="114" t="n">
        <x:v>0.5</x:v>
      </x:c>
      <x:c r="R115" s="99" t="n">
        <x:v>3.02</x:v>
      </x:c>
      <x:c r="S115" s="99" t="n">
        <x:f>IFERROR(R115/L115,P115*(1-Q115))</x:f>
        <x:v>3.02</x:v>
      </x:c>
      <x:c r="T115" s="114" t="n">
        <x:v>0.07</x:v>
      </x:c>
      <x:c r="U115" s="99" t="n">
        <x:f>S115*(1+T115)</x:f>
        <x:v>3.2314000000000003</x:v>
      </x:c>
      <x:c r="V115" s="99" t="n">
        <x:f>S115</x:f>
        <x:v>3.02</x:v>
      </x:c>
      <x:c r="W115" s="99" t="n">
        <x:f>V115-S115</x:f>
        <x:v>0</x:v>
      </x:c>
      <x:c r="X115" s="114" t="n">
        <x:f>IFERROR(W115/V115,0)</x:f>
        <x:v>0</x:v>
      </x:c>
      <x:c r="Y115" s="38" t="str">
        <x:v>Por unidad</x:v>
      </x:c>
      <x:c r="Z115" s="38" t="str">
        <x:f>IF(Y115="Botella / 3 instalaciones","Precio botella / 3",IF(Y115="Por rollo o metros proporcionales","Si se pasa rollo: rollo completo. Si se pasan metros: proporcional",Y115))</x:f>
        <x:v>Por unidad</x:v>
      </x:c>
      <x:c r="AA115" s="38" t="n">
        <x:v>1</x:v>
      </x:c>
      <x:c r="AB115" s="38" t="str"/>
      <x:c r="AC115" s="38" t="str"/>
      <x:c r="AD115" s="116" t="str">
        <x:v>2026-06-30</x:v>
      </x:c>
      <x:c r="AE115" s="38" t="str">
        <x:v>No</x:v>
      </x:c>
      <x:c r="AF115" s="38" t="str"/>
    </x:row>
    <x:row r="116">
      <x:c r="A116" s="38" t="str">
        <x:v>MAT-0115</x:v>
      </x:c>
      <x:c r="B116" s="38" t="str">
        <x:v>Sí</x:v>
      </x:c>
      <x:c r="C116" s="38" t="str">
        <x:v>Sin clasificar</x:v>
      </x:c>
      <x:c r="D116" s="38" t="str"/>
      <x:c r="E116" s="38" t="str">
        <x:v>Injerto De 90º 150/100 Mm</x:v>
      </x:c>
      <x:c r="F116" s="38" t="str">
        <x:v>INJERTO DE 90º 150/100 MM</x:v>
      </x:c>
      <x:c r="G116" s="38" t="str">
        <x:v>CG-INJ90-150100</x:v>
      </x:c>
      <x:c r="H116" s="38" t="str">
        <x:v>Comercial Santana Alemán y González, S.L. (Grupo SAG)</x:v>
      </x:c>
      <x:c r="I116" s="38" t="str">
        <x:v>Factura FM/5127</x:v>
      </x:c>
      <x:c r="J116" s="115" t="str">
        <x:v>30/06/2025</x:v>
      </x:c>
      <x:c r="K116" s="38" t="str">
        <x:v>Albarán NT/25.001.720</x:v>
      </x:c>
      <x:c r="L116" s="38" t="n">
        <x:v>1</x:v>
      </x:c>
      <x:c r="M116" s="38" t="str">
        <x:v>Unidad</x:v>
      </x:c>
      <x:c r="N116" s="38" t="n">
        <x:v>1</x:v>
      </x:c>
      <x:c r="O116" s="38" t="str">
        <x:v>Unidad</x:v>
      </x:c>
      <x:c r="P116" s="99" t="n">
        <x:v>4.52</x:v>
      </x:c>
      <x:c r="Q116" s="114" t="n">
        <x:v>0.5</x:v>
      </x:c>
      <x:c r="R116" s="99" t="n">
        <x:v>2.26</x:v>
      </x:c>
      <x:c r="S116" s="99" t="n">
        <x:f>IFERROR(R116/L116,P116*(1-Q116))</x:f>
        <x:v>2.26</x:v>
      </x:c>
      <x:c r="T116" s="114" t="n">
        <x:v>0.07</x:v>
      </x:c>
      <x:c r="U116" s="99" t="n">
        <x:f>S116*(1+T116)</x:f>
        <x:v>2.4182</x:v>
      </x:c>
      <x:c r="V116" s="99" t="n">
        <x:f>S116</x:f>
        <x:v>2.26</x:v>
      </x:c>
      <x:c r="W116" s="99" t="n">
        <x:f>V116-S116</x:f>
        <x:v>0</x:v>
      </x:c>
      <x:c r="X116" s="114" t="n">
        <x:f>IFERROR(W116/V116,0)</x:f>
        <x:v>0</x:v>
      </x:c>
      <x:c r="Y116" s="38" t="str">
        <x:v>Por unidad</x:v>
      </x:c>
      <x:c r="Z116" s="38" t="str">
        <x:f>IF(Y116="Botella / 3 instalaciones","Precio botella / 3",IF(Y116="Por rollo o metros proporcionales","Si se pasa rollo: rollo completo. Si se pasan metros: proporcional",Y116))</x:f>
        <x:v>Por unidad</x:v>
      </x:c>
      <x:c r="AA116" s="38" t="n">
        <x:v>1</x:v>
      </x:c>
      <x:c r="AB116" s="38" t="str"/>
      <x:c r="AC116" s="38" t="str"/>
      <x:c r="AD116" s="116" t="str">
        <x:v>2026-06-30</x:v>
      </x:c>
      <x:c r="AE116" s="38" t="str">
        <x:v>Sí</x:v>
      </x:c>
      <x:c r="AF116" s="38" t="str">
        <x:v>Revisar categoría antes de usar en cálculo automático.</x:v>
      </x:c>
    </x:row>
    <x:row r="117">
      <x:c r="A117" s="38" t="str">
        <x:v>MAT-0116</x:v>
      </x:c>
      <x:c r="B117" s="38" t="str">
        <x:v>Sí</x:v>
      </x:c>
      <x:c r="C117" s="38" t="str">
        <x:v>Conductos/Ventilación</x:v>
      </x:c>
      <x:c r="D117" s="38" t="str">
        <x:v>Conducto/accesorio</x:v>
      </x:c>
      <x:c r="E117" s="38" t="str">
        <x:v>Codo Galvanizado 90º 125 Mm</x:v>
      </x:c>
      <x:c r="F117" s="38" t="str">
        <x:v>CODO GALVANIZADO 90º 125 MM</x:v>
      </x:c>
      <x:c r="G117" s="38" t="str">
        <x:v>CG-COD90-125</x:v>
      </x:c>
      <x:c r="H117" s="38" t="str">
        <x:v>Comercial Santana Alemán y González, S.L. (Grupo SAG)</x:v>
      </x:c>
      <x:c r="I117" s="38" t="str">
        <x:v>Factura FM/5127</x:v>
      </x:c>
      <x:c r="J117" s="115" t="str">
        <x:v>30/06/2025</x:v>
      </x:c>
      <x:c r="K117" s="38" t="str">
        <x:v>Albarán NT/25.001.720</x:v>
      </x:c>
      <x:c r="L117" s="38" t="n">
        <x:v>2</x:v>
      </x:c>
      <x:c r="M117" s="38" t="str">
        <x:v>Unidad</x:v>
      </x:c>
      <x:c r="N117" s="38" t="n">
        <x:v>1</x:v>
      </x:c>
      <x:c r="O117" s="38" t="str">
        <x:v>Unidad</x:v>
      </x:c>
      <x:c r="P117" s="99" t="n">
        <x:v>12.33</x:v>
      </x:c>
      <x:c r="Q117" s="114" t="n">
        <x:v>0.5</x:v>
      </x:c>
      <x:c r="R117" s="99" t="n">
        <x:v>12.33</x:v>
      </x:c>
      <x:c r="S117" s="99" t="n">
        <x:f>IFERROR(R117/L117,P117*(1-Q117))</x:f>
        <x:v>6.165</x:v>
      </x:c>
      <x:c r="T117" s="114" t="n">
        <x:v>0.07</x:v>
      </x:c>
      <x:c r="U117" s="99" t="n">
        <x:f>S117*(1+T117)</x:f>
        <x:v>6.596550000000001</x:v>
      </x:c>
      <x:c r="V117" s="99" t="n">
        <x:f>S117</x:f>
        <x:v>6.165</x:v>
      </x:c>
      <x:c r="W117" s="99" t="n">
        <x:f>V117-S117</x:f>
        <x:v>0</x:v>
      </x:c>
      <x:c r="X117" s="114" t="n">
        <x:f>IFERROR(W117/V117,0)</x:f>
        <x:v>0</x:v>
      </x:c>
      <x:c r="Y117" s="38" t="str">
        <x:v>Por unidad</x:v>
      </x:c>
      <x:c r="Z117" s="38" t="str">
        <x:f>IF(Y117="Botella / 3 instalaciones","Precio botella / 3",IF(Y117="Por rollo o metros proporcionales","Si se pasa rollo: rollo completo. Si se pasan metros: proporcional",Y117))</x:f>
        <x:v>Por unidad</x:v>
      </x:c>
      <x:c r="AA117" s="38" t="n">
        <x:v>1</x:v>
      </x:c>
      <x:c r="AB117" s="38" t="str"/>
      <x:c r="AC117" s="38" t="str"/>
      <x:c r="AD117" s="116" t="str">
        <x:v>2026-06-30</x:v>
      </x:c>
      <x:c r="AE117" s="38" t="str">
        <x:v>No</x:v>
      </x:c>
      <x:c r="AF117" s="38" t="str"/>
    </x:row>
    <x:row r="118">
      <x:c r="A118" s="38" t="str">
        <x:v>MAT-0117</x:v>
      </x:c>
      <x:c r="B118" s="38" t="str">
        <x:v>Sí</x:v>
      </x:c>
      <x:c r="C118" s="38" t="str">
        <x:v>Conductos/Ventilación</x:v>
      </x:c>
      <x:c r="D118" s="38" t="str">
        <x:v>Conducto/accesorio</x:v>
      </x:c>
      <x:c r="E118" s="38" t="str">
        <x:v>Codo Galvanizado 90º 100 Mm</x:v>
      </x:c>
      <x:c r="F118" s="38" t="str">
        <x:v>CODO GALVANIZADO 90º 100 MM</x:v>
      </x:c>
      <x:c r="G118" s="38" t="str">
        <x:v>CG-COD90-100</x:v>
      </x:c>
      <x:c r="H118" s="38" t="str">
        <x:v>Comercial Santana Alemán y González, S.L. (Grupo SAG)</x:v>
      </x:c>
      <x:c r="I118" s="38" t="str">
        <x:v>Factura FM/5127</x:v>
      </x:c>
      <x:c r="J118" s="115" t="str">
        <x:v>30/06/2025</x:v>
      </x:c>
      <x:c r="K118" s="38" t="str">
        <x:v>Albarán NT/25.001.720</x:v>
      </x:c>
      <x:c r="L118" s="38" t="n">
        <x:v>2</x:v>
      </x:c>
      <x:c r="M118" s="38" t="str">
        <x:v>Unidad</x:v>
      </x:c>
      <x:c r="N118" s="38" t="n">
        <x:v>1</x:v>
      </x:c>
      <x:c r="O118" s="38" t="str">
        <x:v>Unidad</x:v>
      </x:c>
      <x:c r="P118" s="99" t="n">
        <x:v>9.2</x:v>
      </x:c>
      <x:c r="Q118" s="114" t="n">
        <x:v>0.5</x:v>
      </x:c>
      <x:c r="R118" s="99" t="n">
        <x:v>9.2</x:v>
      </x:c>
      <x:c r="S118" s="99" t="n">
        <x:f>IFERROR(R118/L118,P118*(1-Q118))</x:f>
        <x:v>4.6</x:v>
      </x:c>
      <x:c r="T118" s="114" t="n">
        <x:v>0.07</x:v>
      </x:c>
      <x:c r="U118" s="99" t="n">
        <x:f>S118*(1+T118)</x:f>
        <x:v>4.922</x:v>
      </x:c>
      <x:c r="V118" s="99" t="n">
        <x:f>S118</x:f>
        <x:v>4.6</x:v>
      </x:c>
      <x:c r="W118" s="99" t="n">
        <x:f>V118-S118</x:f>
        <x:v>0</x:v>
      </x:c>
      <x:c r="X118" s="114" t="n">
        <x:f>IFERROR(W118/V118,0)</x:f>
        <x:v>0</x:v>
      </x:c>
      <x:c r="Y118" s="38" t="str">
        <x:v>Por unidad</x:v>
      </x:c>
      <x:c r="Z118" s="38" t="str">
        <x:f>IF(Y118="Botella / 3 instalaciones","Precio botella / 3",IF(Y118="Por rollo o metros proporcionales","Si se pasa rollo: rollo completo. Si se pasan metros: proporcional",Y118))</x:f>
        <x:v>Por unidad</x:v>
      </x:c>
      <x:c r="AA118" s="38" t="n">
        <x:v>1</x:v>
      </x:c>
      <x:c r="AB118" s="38" t="str"/>
      <x:c r="AC118" s="38" t="str"/>
      <x:c r="AD118" s="116" t="str">
        <x:v>2026-06-30</x:v>
      </x:c>
      <x:c r="AE118" s="38" t="str">
        <x:v>No</x:v>
      </x:c>
      <x:c r="AF118" s="38" t="str"/>
    </x:row>
    <x:row r="119">
      <x:c r="A119" s="38" t="str">
        <x:v>MAT-0118</x:v>
      </x:c>
      <x:c r="B119" s="38" t="str">
        <x:v>Sí</x:v>
      </x:c>
      <x:c r="C119" s="38" t="str">
        <x:v>Sin clasificar</x:v>
      </x:c>
      <x:c r="D119" s="38" t="str"/>
      <x:c r="E119" s="38" t="str">
        <x:v>Compuerta De Regulacion Circular 100 Mm</x:v>
      </x:c>
      <x:c r="F119" s="38" t="str">
        <x:v>COMPUERTA DE REGULACION CIRCULAR 100 MM</x:v>
      </x:c>
      <x:c r="G119" s="38" t="str">
        <x:v>CF-REG-100</x:v>
      </x:c>
      <x:c r="H119" s="38" t="str">
        <x:v>Comercial Santana Alemán y González, S.L. (Grupo SAG)</x:v>
      </x:c>
      <x:c r="I119" s="38" t="str">
        <x:v>Factura FM/5127</x:v>
      </x:c>
      <x:c r="J119" s="115" t="str">
        <x:v>30/06/2025</x:v>
      </x:c>
      <x:c r="K119" s="38" t="str">
        <x:v>Albarán NT/25.001.720</x:v>
      </x:c>
      <x:c r="L119" s="38" t="n">
        <x:v>3</x:v>
      </x:c>
      <x:c r="M119" s="38" t="str">
        <x:v>Unidad</x:v>
      </x:c>
      <x:c r="N119" s="38" t="n">
        <x:v>1</x:v>
      </x:c>
      <x:c r="O119" s="38" t="str">
        <x:v>Unidad</x:v>
      </x:c>
      <x:c r="P119" s="99" t="n">
        <x:v>16.37</x:v>
      </x:c>
      <x:c r="Q119" s="114" t="n">
        <x:v>0.4</x:v>
      </x:c>
      <x:c r="R119" s="99" t="n">
        <x:v>29.47</x:v>
      </x:c>
      <x:c r="S119" s="99" t="n">
        <x:f>IFERROR(R119/L119,P119*(1-Q119))</x:f>
        <x:v>9.823333333333332</x:v>
      </x:c>
      <x:c r="T119" s="114" t="n">
        <x:v>0.07</x:v>
      </x:c>
      <x:c r="U119" s="99" t="n">
        <x:f>S119*(1+T119)</x:f>
        <x:v>10.510966666666667</x:v>
      </x:c>
      <x:c r="V119" s="99" t="n">
        <x:f>S119</x:f>
        <x:v>9.823333333333332</x:v>
      </x:c>
      <x:c r="W119" s="99" t="n">
        <x:f>V119-S119</x:f>
        <x:v>0</x:v>
      </x:c>
      <x:c r="X119" s="114" t="n">
        <x:f>IFERROR(W119/V119,0)</x:f>
        <x:v>0</x:v>
      </x:c>
      <x:c r="Y119" s="38" t="str">
        <x:v>Por unidad</x:v>
      </x:c>
      <x:c r="Z119" s="38" t="str">
        <x:f>IF(Y119="Botella / 3 instalaciones","Precio botella / 3",IF(Y119="Por rollo o metros proporcionales","Si se pasa rollo: rollo completo. Si se pasan metros: proporcional",Y119))</x:f>
        <x:v>Por unidad</x:v>
      </x:c>
      <x:c r="AA119" s="38" t="n">
        <x:v>1</x:v>
      </x:c>
      <x:c r="AB119" s="38" t="str"/>
      <x:c r="AC119" s="38" t="str"/>
      <x:c r="AD119" s="116" t="str">
        <x:v>2026-06-30</x:v>
      </x:c>
      <x:c r="AE119" s="38" t="str">
        <x:v>Sí</x:v>
      </x:c>
      <x:c r="AF119" s="38" t="str">
        <x:v>Revisar categoría antes de usar en cálculo automático.</x:v>
      </x:c>
    </x:row>
    <x:row r="120">
      <x:c r="A120" s="38" t="str">
        <x:v>MAT-0119</x:v>
      </x:c>
      <x:c r="B120" s="38" t="str">
        <x:v>Sí</x:v>
      </x:c>
      <x:c r="C120" s="38" t="str">
        <x:v>Sin clasificar</x:v>
      </x:c>
      <x:c r="D120" s="38" t="str"/>
      <x:c r="E120" s="38" t="str">
        <x:v>Corona De 100 Mm</x:v>
      </x:c>
      <x:c r="F120" s="38" t="str">
        <x:v>CORONA DE 100 MM</x:v>
      </x:c>
      <x:c r="G120" s="38" t="str">
        <x:v>CG-CRN-0100</x:v>
      </x:c>
      <x:c r="H120" s="38" t="str">
        <x:v>Comercial Santana Alemán y González, S.L. (Grupo SAG)</x:v>
      </x:c>
      <x:c r="I120" s="38" t="str">
        <x:v>Factura FM/5127</x:v>
      </x:c>
      <x:c r="J120" s="115" t="str">
        <x:v>30/06/2025</x:v>
      </x:c>
      <x:c r="K120" s="38" t="str">
        <x:v>Albarán NT/25.001.720</x:v>
      </x:c>
      <x:c r="L120" s="38" t="n">
        <x:v>3</x:v>
      </x:c>
      <x:c r="M120" s="38" t="str">
        <x:v>Unidad</x:v>
      </x:c>
      <x:c r="N120" s="38" t="n">
        <x:v>1</x:v>
      </x:c>
      <x:c r="O120" s="38" t="str">
        <x:v>Unidad</x:v>
      </x:c>
      <x:c r="P120" s="99" t="n">
        <x:v>2.5</x:v>
      </x:c>
      <x:c r="Q120" s="114" t="n">
        <x:v>0.5</x:v>
      </x:c>
      <x:c r="R120" s="99" t="n">
        <x:v>3.75</x:v>
      </x:c>
      <x:c r="S120" s="99" t="n">
        <x:f>IFERROR(R120/L120,P120*(1-Q120))</x:f>
        <x:v>1.25</x:v>
      </x:c>
      <x:c r="T120" s="114" t="n">
        <x:v>0.07</x:v>
      </x:c>
      <x:c r="U120" s="99" t="n">
        <x:f>S120*(1+T120)</x:f>
        <x:v>1.3375000000000001</x:v>
      </x:c>
      <x:c r="V120" s="99" t="n">
        <x:f>S120</x:f>
        <x:v>1.25</x:v>
      </x:c>
      <x:c r="W120" s="99" t="n">
        <x:f>V120-S120</x:f>
        <x:v>0</x:v>
      </x:c>
      <x:c r="X120" s="114" t="n">
        <x:f>IFERROR(W120/V120,0)</x:f>
        <x:v>0</x:v>
      </x:c>
      <x:c r="Y120" s="38" t="str">
        <x:v>Por unidad</x:v>
      </x:c>
      <x:c r="Z120" s="38" t="str">
        <x:f>IF(Y120="Botella / 3 instalaciones","Precio botella / 3",IF(Y120="Por rollo o metros proporcionales","Si se pasa rollo: rollo completo. Si se pasan metros: proporcional",Y120))</x:f>
        <x:v>Por unidad</x:v>
      </x:c>
      <x:c r="AA120" s="38" t="n">
        <x:v>1</x:v>
      </x:c>
      <x:c r="AB120" s="38" t="str"/>
      <x:c r="AC120" s="38" t="str"/>
      <x:c r="AD120" s="116" t="str">
        <x:v>2026-06-30</x:v>
      </x:c>
      <x:c r="AE120" s="38" t="str">
        <x:v>Sí</x:v>
      </x:c>
      <x:c r="AF120" s="38" t="str">
        <x:v>Revisar categoría antes de usar en cálculo automático.</x:v>
      </x:c>
    </x:row>
    <x:row r="121">
      <x:c r="A121" s="38" t="str">
        <x:v>MAT-0120</x:v>
      </x:c>
      <x:c r="B121" s="38" t="str">
        <x:v>Sí</x:v>
      </x:c>
      <x:c r="C121" s="38" t="str">
        <x:v>Sin clasificar</x:v>
      </x:c>
      <x:c r="D121" s="38" t="str"/>
      <x:c r="E121" s="38" t="str">
        <x:v>Abraz. Rm8+M10-125 (4 1/2")</x:v>
      </x:c>
      <x:c r="F121" s="38" t="str">
        <x:v>ABRAZ. RM8+M10-125 (4 1/2")</x:v>
      </x:c>
      <x:c r="G121" s="38" t="str">
        <x:v>15580125</x:v>
      </x:c>
      <x:c r="H121" s="38" t="str">
        <x:v>Comercial Santana Alemán y González, S.L. (Grupo SAG)</x:v>
      </x:c>
      <x:c r="I121" s="38" t="str">
        <x:v>Albarán NT/25001832</x:v>
      </x:c>
      <x:c r="J121" s="115" t="str">
        <x:v>10/07/2025</x:v>
      </x:c>
      <x:c r="K121" s="38" t="str">
        <x:v>TIENDA (EL CHORRILLO)</x:v>
      </x:c>
      <x:c r="L121" s="38" t="n">
        <x:v>-4</x:v>
      </x:c>
      <x:c r="M121" s="38" t="str">
        <x:v>Unidad</x:v>
      </x:c>
      <x:c r="N121" s="38" t="n">
        <x:v>1</x:v>
      </x:c>
      <x:c r="O121" s="38" t="str">
        <x:v>Unidad</x:v>
      </x:c>
      <x:c r="P121" s="99" t="n">
        <x:v>1.583636</x:v>
      </x:c>
      <x:c r="Q121" s="114" t="n">
        <x:v>0.45</x:v>
      </x:c>
      <x:c r="R121" s="99" t="n">
        <x:v>-3.48</x:v>
      </x:c>
      <x:c r="S121" s="99" t="n">
        <x:f>IFERROR(R121/L121,P121*(1-Q121))</x:f>
        <x:v>0.87</x:v>
      </x:c>
      <x:c r="T121" s="114" t="n">
        <x:v>0.07</x:v>
      </x:c>
      <x:c r="U121" s="99" t="n">
        <x:f>S121*(1+T121)</x:f>
        <x:v>0.9309000000000001</x:v>
      </x:c>
      <x:c r="V121" s="99" t="n">
        <x:f>S121</x:f>
        <x:v>0.87</x:v>
      </x:c>
      <x:c r="W121" s="99" t="n">
        <x:f>V121-S121</x:f>
        <x:v>0</x:v>
      </x:c>
      <x:c r="X121" s="114" t="n">
        <x:f>IFERROR(W121/V121,0)</x:f>
        <x:v>0</x:v>
      </x:c>
      <x:c r="Y121" s="38" t="str">
        <x:v>Por unidad</x:v>
      </x:c>
      <x:c r="Z121" s="38" t="str">
        <x:f>IF(Y121="Botella / 3 instalaciones","Precio botella / 3",IF(Y121="Por rollo o metros proporcionales","Si se pasa rollo: rollo completo. Si se pasan metros: proporcional",Y121))</x:f>
        <x:v>Por unidad</x:v>
      </x:c>
      <x:c r="AA121" s="38" t="n">
        <x:v>1</x:v>
      </x:c>
      <x:c r="AB121" s="38" t="str"/>
      <x:c r="AC121" s="38" t="str"/>
      <x:c r="AD121" s="116" t="str">
        <x:v>2026-06-30</x:v>
      </x:c>
      <x:c r="AE121" s="38" t="str">
        <x:v>Sí</x:v>
      </x:c>
      <x:c r="AF121" s="38" t="str">
        <x:v>Revisar categoría antes de usar en cálculo automático.</x:v>
      </x:c>
    </x:row>
    <x:row r="122">
      <x:c r="A122" s="38" t="str">
        <x:v>MAT-0121</x:v>
      </x:c>
      <x:c r="B122" s="38" t="str">
        <x:v>Sí</x:v>
      </x:c>
      <x:c r="C122" s="38" t="str">
        <x:v>Sin clasificar</x:v>
      </x:c>
      <x:c r="D122" s="38" t="str"/>
      <x:c r="E122" s="38" t="str">
        <x:v>Compuerta De Regulacion Circular 100 Mm</x:v>
      </x:c>
      <x:c r="F122" s="38" t="str">
        <x:v>COMPUERTA DE REGULACION CIRCULAR 100 MM</x:v>
      </x:c>
      <x:c r="G122" s="38" t="str">
        <x:v>CF-REG-100</x:v>
      </x:c>
      <x:c r="H122" s="38" t="str">
        <x:v>Comercial Santana Alemán y González, S.L. (Grupo SAG)</x:v>
      </x:c>
      <x:c r="I122" s="38" t="str">
        <x:v>Albarán NT/25001832</x:v>
      </x:c>
      <x:c r="J122" s="115" t="str">
        <x:v>10/07/2025</x:v>
      </x:c>
      <x:c r="K122" s="38" t="str">
        <x:v>TIENDA (EL CHORRILLO)</x:v>
      </x:c>
      <x:c r="L122" s="38" t="n">
        <x:v>-3</x:v>
      </x:c>
      <x:c r="M122" s="38" t="str">
        <x:v>Unidad</x:v>
      </x:c>
      <x:c r="N122" s="38" t="n">
        <x:v>1</x:v>
      </x:c>
      <x:c r="O122" s="38" t="str">
        <x:v>Unidad</x:v>
      </x:c>
      <x:c r="P122" s="99" t="n">
        <x:v>16.37</x:v>
      </x:c>
      <x:c r="Q122" s="114" t="n">
        <x:v>0.4</x:v>
      </x:c>
      <x:c r="R122" s="99" t="n">
        <x:v>-29.47</x:v>
      </x:c>
      <x:c r="S122" s="99" t="n">
        <x:f>IFERROR(R122/L122,P122*(1-Q122))</x:f>
        <x:v>9.823333333333332</x:v>
      </x:c>
      <x:c r="T122" s="114" t="n">
        <x:v>0.07</x:v>
      </x:c>
      <x:c r="U122" s="99" t="n">
        <x:f>S122*(1+T122)</x:f>
        <x:v>10.510966666666667</x:v>
      </x:c>
      <x:c r="V122" s="99" t="n">
        <x:f>S122</x:f>
        <x:v>9.823333333333332</x:v>
      </x:c>
      <x:c r="W122" s="99" t="n">
        <x:f>V122-S122</x:f>
        <x:v>0</x:v>
      </x:c>
      <x:c r="X122" s="114" t="n">
        <x:f>IFERROR(W122/V122,0)</x:f>
        <x:v>0</x:v>
      </x:c>
      <x:c r="Y122" s="38" t="str">
        <x:v>Por unidad</x:v>
      </x:c>
      <x:c r="Z122" s="38" t="str">
        <x:f>IF(Y122="Botella / 3 instalaciones","Precio botella / 3",IF(Y122="Por rollo o metros proporcionales","Si se pasa rollo: rollo completo. Si se pasan metros: proporcional",Y122))</x:f>
        <x:v>Por unidad</x:v>
      </x:c>
      <x:c r="AA122" s="38" t="n">
        <x:v>1</x:v>
      </x:c>
      <x:c r="AB122" s="38" t="str"/>
      <x:c r="AC122" s="38" t="str"/>
      <x:c r="AD122" s="116" t="str">
        <x:v>2026-06-30</x:v>
      </x:c>
      <x:c r="AE122" s="38" t="str">
        <x:v>Sí</x:v>
      </x:c>
      <x:c r="AF122" s="38" t="str">
        <x:v>Revisar categoría antes de usar en cálculo automático.</x:v>
      </x:c>
    </x:row>
    <x:row r="123">
      <x:c r="A123" s="38" t="str">
        <x:v>MAT-0122</x:v>
      </x:c>
      <x:c r="B123" s="38" t="str">
        <x:v>Sí</x:v>
      </x:c>
      <x:c r="C123" s="38" t="str">
        <x:v>Sin clasificar</x:v>
      </x:c>
      <x:c r="D123" s="38" t="str"/>
      <x:c r="E123" s="38" t="str">
        <x:v>Corona De 100 Mm</x:v>
      </x:c>
      <x:c r="F123" s="38" t="str">
        <x:v>CORONA DE 100 MM</x:v>
      </x:c>
      <x:c r="G123" s="38" t="str">
        <x:v>CG-CRN-0100</x:v>
      </x:c>
      <x:c r="H123" s="38" t="str">
        <x:v>Comercial Santana Alemán y González, S.L. (Grupo SAG)</x:v>
      </x:c>
      <x:c r="I123" s="38" t="str">
        <x:v>Albarán NT/25001832</x:v>
      </x:c>
      <x:c r="J123" s="115" t="str">
        <x:v>10/07/2025</x:v>
      </x:c>
      <x:c r="K123" s="38" t="str">
        <x:v>TIENDA (EL CHORRILLO)</x:v>
      </x:c>
      <x:c r="L123" s="38" t="n">
        <x:v>-3</x:v>
      </x:c>
      <x:c r="M123" s="38" t="str">
        <x:v>Unidad</x:v>
      </x:c>
      <x:c r="N123" s="38" t="n">
        <x:v>1</x:v>
      </x:c>
      <x:c r="O123" s="38" t="str">
        <x:v>Unidad</x:v>
      </x:c>
      <x:c r="P123" s="99" t="n">
        <x:v>2.5</x:v>
      </x:c>
      <x:c r="Q123" s="114" t="n">
        <x:v>0.5</x:v>
      </x:c>
      <x:c r="R123" s="99" t="n">
        <x:v>-3.75</x:v>
      </x:c>
      <x:c r="S123" s="99" t="n">
        <x:f>IFERROR(R123/L123,P123*(1-Q123))</x:f>
        <x:v>1.25</x:v>
      </x:c>
      <x:c r="T123" s="114" t="n">
        <x:v>0.07</x:v>
      </x:c>
      <x:c r="U123" s="99" t="n">
        <x:f>S123*(1+T123)</x:f>
        <x:v>1.3375000000000001</x:v>
      </x:c>
      <x:c r="V123" s="99" t="n">
        <x:f>S123</x:f>
        <x:v>1.25</x:v>
      </x:c>
      <x:c r="W123" s="99" t="n">
        <x:f>V123-S123</x:f>
        <x:v>0</x:v>
      </x:c>
      <x:c r="X123" s="114" t="n">
        <x:f>IFERROR(W123/V123,0)</x:f>
        <x:v>0</x:v>
      </x:c>
      <x:c r="Y123" s="38" t="str">
        <x:v>Por unidad</x:v>
      </x:c>
      <x:c r="Z123" s="38" t="str">
        <x:f>IF(Y123="Botella / 3 instalaciones","Precio botella / 3",IF(Y123="Por rollo o metros proporcionales","Si se pasa rollo: rollo completo. Si se pasan metros: proporcional",Y123))</x:f>
        <x:v>Por unidad</x:v>
      </x:c>
      <x:c r="AA123" s="38" t="n">
        <x:v>1</x:v>
      </x:c>
      <x:c r="AB123" s="38" t="str"/>
      <x:c r="AC123" s="38" t="str"/>
      <x:c r="AD123" s="116" t="str">
        <x:v>2026-06-30</x:v>
      </x:c>
      <x:c r="AE123" s="38" t="str">
        <x:v>Sí</x:v>
      </x:c>
      <x:c r="AF123" s="38" t="str">
        <x:v>Revisar categoría antes de usar en cálculo automático.</x:v>
      </x:c>
    </x:row>
    <x:row r="124">
      <x:c r="A124" s="38" t="str">
        <x:v>MAT-0123</x:v>
      </x:c>
      <x:c r="B124" s="38" t="str">
        <x:v>Sí</x:v>
      </x:c>
      <x:c r="C124" s="38" t="str">
        <x:v>Conductos/Ventilación</x:v>
      </x:c>
      <x:c r="D124" s="38" t="str">
        <x:v>Conducto/accesorio</x:v>
      </x:c>
      <x:c r="E124" s="38" t="str">
        <x:v>Codo Galvanizado 90º 100 Mm</x:v>
      </x:c>
      <x:c r="F124" s="38" t="str">
        <x:v>CODO GALVANIZADO 90º 100 MM</x:v>
      </x:c>
      <x:c r="G124" s="38" t="str">
        <x:v>CG-COD90-100</x:v>
      </x:c>
      <x:c r="H124" s="38" t="str">
        <x:v>Comercial Santana Alemán y González, S.L. (Grupo SAG)</x:v>
      </x:c>
      <x:c r="I124" s="38" t="str">
        <x:v>Albarán NT/25001832</x:v>
      </x:c>
      <x:c r="J124" s="115" t="str">
        <x:v>10/07/2025</x:v>
      </x:c>
      <x:c r="K124" s="38" t="str">
        <x:v>TIENDA (EL CHORRILLO)</x:v>
      </x:c>
      <x:c r="L124" s="38" t="n">
        <x:v>-4</x:v>
      </x:c>
      <x:c r="M124" s="38" t="str">
        <x:v>Unidad</x:v>
      </x:c>
      <x:c r="N124" s="38" t="n">
        <x:v>1</x:v>
      </x:c>
      <x:c r="O124" s="38" t="str">
        <x:v>Unidad</x:v>
      </x:c>
      <x:c r="P124" s="99" t="n">
        <x:v>9.2</x:v>
      </x:c>
      <x:c r="Q124" s="114" t="n">
        <x:v>0.5</x:v>
      </x:c>
      <x:c r="R124" s="99" t="n">
        <x:v>-18.4</x:v>
      </x:c>
      <x:c r="S124" s="99" t="n">
        <x:f>IFERROR(R124/L124,P124*(1-Q124))</x:f>
        <x:v>4.6</x:v>
      </x:c>
      <x:c r="T124" s="114" t="n">
        <x:v>0.07</x:v>
      </x:c>
      <x:c r="U124" s="99" t="n">
        <x:f>S124*(1+T124)</x:f>
        <x:v>4.922</x:v>
      </x:c>
      <x:c r="V124" s="99" t="n">
        <x:f>S124</x:f>
        <x:v>4.6</x:v>
      </x:c>
      <x:c r="W124" s="99" t="n">
        <x:f>V124-S124</x:f>
        <x:v>0</x:v>
      </x:c>
      <x:c r="X124" s="114" t="n">
        <x:f>IFERROR(W124/V124,0)</x:f>
        <x:v>0</x:v>
      </x:c>
      <x:c r="Y124" s="38" t="str">
        <x:v>Por unidad</x:v>
      </x:c>
      <x:c r="Z124" s="38" t="str">
        <x:f>IF(Y124="Botella / 3 instalaciones","Precio botella / 3",IF(Y124="Por rollo o metros proporcionales","Si se pasa rollo: rollo completo. Si se pasan metros: proporcional",Y124))</x:f>
        <x:v>Por unidad</x:v>
      </x:c>
      <x:c r="AA124" s="38" t="n">
        <x:v>1</x:v>
      </x:c>
      <x:c r="AB124" s="38" t="str"/>
      <x:c r="AC124" s="38" t="str"/>
      <x:c r="AD124" s="116" t="str">
        <x:v>2026-06-30</x:v>
      </x:c>
      <x:c r="AE124" s="38" t="str">
        <x:v>No</x:v>
      </x:c>
      <x:c r="AF124" s="38" t="str"/>
    </x:row>
    <x:row r="125">
      <x:c r="A125" s="38" t="str">
        <x:v>MAT-0124</x:v>
      </x:c>
      <x:c r="B125" s="38" t="str">
        <x:v>Sí</x:v>
      </x:c>
      <x:c r="C125" s="38" t="str">
        <x:v>Conductos/Ventilación</x:v>
      </x:c>
      <x:c r="D125" s="38" t="str">
        <x:v>Conducto/accesorio</x:v>
      </x:c>
      <x:c r="E125" s="38" t="str">
        <x:v>Codo Galvanizado 90º 125 Mm</x:v>
      </x:c>
      <x:c r="F125" s="38" t="str">
        <x:v>CODO GALVANIZADO 90º 125 MM</x:v>
      </x:c>
      <x:c r="G125" s="38" t="str">
        <x:v>CG-COD90-125</x:v>
      </x:c>
      <x:c r="H125" s="38" t="str">
        <x:v>Comercial Santana Alemán y González, S.L. (Grupo SAG)</x:v>
      </x:c>
      <x:c r="I125" s="38" t="str">
        <x:v>Albarán NT/25001832</x:v>
      </x:c>
      <x:c r="J125" s="115" t="str">
        <x:v>10/07/2025</x:v>
      </x:c>
      <x:c r="K125" s="38" t="str">
        <x:v>TIENDA (EL CHORRILLO)</x:v>
      </x:c>
      <x:c r="L125" s="38" t="n">
        <x:v>-2</x:v>
      </x:c>
      <x:c r="M125" s="38" t="str">
        <x:v>Unidad</x:v>
      </x:c>
      <x:c r="N125" s="38" t="n">
        <x:v>1</x:v>
      </x:c>
      <x:c r="O125" s="38" t="str">
        <x:v>Unidad</x:v>
      </x:c>
      <x:c r="P125" s="99" t="n">
        <x:v>12.33</x:v>
      </x:c>
      <x:c r="Q125" s="114" t="n">
        <x:v>0.5</x:v>
      </x:c>
      <x:c r="R125" s="99" t="n">
        <x:v>-12.33</x:v>
      </x:c>
      <x:c r="S125" s="99" t="n">
        <x:f>IFERROR(R125/L125,P125*(1-Q125))</x:f>
        <x:v>6.165</x:v>
      </x:c>
      <x:c r="T125" s="114" t="n">
        <x:v>0.07</x:v>
      </x:c>
      <x:c r="U125" s="99" t="n">
        <x:f>S125*(1+T125)</x:f>
        <x:v>6.596550000000001</x:v>
      </x:c>
      <x:c r="V125" s="99" t="n">
        <x:f>S125</x:f>
        <x:v>6.165</x:v>
      </x:c>
      <x:c r="W125" s="99" t="n">
        <x:f>V125-S125</x:f>
        <x:v>0</x:v>
      </x:c>
      <x:c r="X125" s="114" t="n">
        <x:f>IFERROR(W125/V125,0)</x:f>
        <x:v>0</x:v>
      </x:c>
      <x:c r="Y125" s="38" t="str">
        <x:v>Por unidad</x:v>
      </x:c>
      <x:c r="Z125" s="38" t="str">
        <x:f>IF(Y125="Botella / 3 instalaciones","Precio botella / 3",IF(Y125="Por rollo o metros proporcionales","Si se pasa rollo: rollo completo. Si se pasan metros: proporcional",Y125))</x:f>
        <x:v>Por unidad</x:v>
      </x:c>
      <x:c r="AA125" s="38" t="n">
        <x:v>1</x:v>
      </x:c>
      <x:c r="AB125" s="38" t="str"/>
      <x:c r="AC125" s="38" t="str"/>
      <x:c r="AD125" s="116" t="str">
        <x:v>2026-06-30</x:v>
      </x:c>
      <x:c r="AE125" s="38" t="str">
        <x:v>No</x:v>
      </x:c>
      <x:c r="AF125" s="38" t="str"/>
    </x:row>
    <x:row r="126">
      <x:c r="A126" s="38" t="str">
        <x:v>MAT-0125</x:v>
      </x:c>
      <x:c r="B126" s="38" t="str">
        <x:v>Sí</x:v>
      </x:c>
      <x:c r="C126" s="38" t="str">
        <x:v>Conductos/Ventilación</x:v>
      </x:c>
      <x:c r="D126" s="38" t="str">
        <x:v>Conducto/accesorio</x:v>
      </x:c>
      <x:c r="E126" s="38" t="str">
        <x:v>Manguito Galvanizado De 100 Mm</x:v>
      </x:c>
      <x:c r="F126" s="38" t="str">
        <x:v>MANGUITO GALVANIZADO DE 100 MM</x:v>
      </x:c>
      <x:c r="G126" s="38" t="str">
        <x:v>CG-MAN-100</x:v>
      </x:c>
      <x:c r="H126" s="38" t="str">
        <x:v>Comercial Santana Alemán y González, S.L. (Grupo SAG)</x:v>
      </x:c>
      <x:c r="I126" s="38" t="str">
        <x:v>Albarán NT/25001832</x:v>
      </x:c>
      <x:c r="J126" s="115" t="str">
        <x:v>10/07/2025</x:v>
      </x:c>
      <x:c r="K126" s="38" t="str">
        <x:v>TIENDA (EL CHORRILLO)</x:v>
      </x:c>
      <x:c r="L126" s="38" t="n">
        <x:v>-2</x:v>
      </x:c>
      <x:c r="M126" s="38" t="str">
        <x:v>Unidad</x:v>
      </x:c>
      <x:c r="N126" s="38" t="n">
        <x:v>1</x:v>
      </x:c>
      <x:c r="O126" s="38" t="str">
        <x:v>Unidad</x:v>
      </x:c>
      <x:c r="P126" s="99" t="n">
        <x:v>3.75</x:v>
      </x:c>
      <x:c r="Q126" s="114" t="n">
        <x:v>0.5</x:v>
      </x:c>
      <x:c r="R126" s="99" t="n">
        <x:v>-3.75</x:v>
      </x:c>
      <x:c r="S126" s="99" t="n">
        <x:f>IFERROR(R126/L126,P126*(1-Q126))</x:f>
        <x:v>1.875</x:v>
      </x:c>
      <x:c r="T126" s="114" t="n">
        <x:v>0.07</x:v>
      </x:c>
      <x:c r="U126" s="99" t="n">
        <x:f>S126*(1+T126)</x:f>
        <x:v>2.00625</x:v>
      </x:c>
      <x:c r="V126" s="99" t="n">
        <x:f>S126</x:f>
        <x:v>1.875</x:v>
      </x:c>
      <x:c r="W126" s="99" t="n">
        <x:f>V126-S126</x:f>
        <x:v>0</x:v>
      </x:c>
      <x:c r="X126" s="114" t="n">
        <x:f>IFERROR(W126/V126,0)</x:f>
        <x:v>0</x:v>
      </x:c>
      <x:c r="Y126" s="38" t="str">
        <x:v>Por unidad</x:v>
      </x:c>
      <x:c r="Z126" s="38" t="str">
        <x:f>IF(Y126="Botella / 3 instalaciones","Precio botella / 3",IF(Y126="Por rollo o metros proporcionales","Si se pasa rollo: rollo completo. Si se pasan metros: proporcional",Y126))</x:f>
        <x:v>Por unidad</x:v>
      </x:c>
      <x:c r="AA126" s="38" t="n">
        <x:v>1</x:v>
      </x:c>
      <x:c r="AB126" s="38" t="str"/>
      <x:c r="AC126" s="38" t="str"/>
      <x:c r="AD126" s="116" t="str">
        <x:v>2026-06-30</x:v>
      </x:c>
      <x:c r="AE126" s="38" t="str">
        <x:v>No</x:v>
      </x:c>
      <x:c r="AF126" s="38" t="str"/>
    </x:row>
    <x:row r="127">
      <x:c r="A127" s="38" t="str">
        <x:v>MAT-0126</x:v>
      </x:c>
      <x:c r="B127" s="38" t="str">
        <x:v>Sí</x:v>
      </x:c>
      <x:c r="C127" s="38" t="str">
        <x:v>Conductos/Ventilación</x:v>
      </x:c>
      <x:c r="D127" s="38" t="str">
        <x:v>Conducto/accesorio</x:v>
      </x:c>
      <x:c r="E127" s="38" t="str">
        <x:v>Manguito Galvanizado De 125 Mm</x:v>
      </x:c>
      <x:c r="F127" s="38" t="str">
        <x:v>MANGUITO GALVANIZADO DE 125 MM</x:v>
      </x:c>
      <x:c r="G127" s="38" t="str">
        <x:v>CG-MAN-125</x:v>
      </x:c>
      <x:c r="H127" s="38" t="str">
        <x:v>Comercial Santana Alemán y González, S.L. (Grupo SAG)</x:v>
      </x:c>
      <x:c r="I127" s="38" t="str">
        <x:v>Albarán NT/25001832</x:v>
      </x:c>
      <x:c r="J127" s="115" t="str">
        <x:v>10/07/2025</x:v>
      </x:c>
      <x:c r="K127" s="38" t="str">
        <x:v>TIENDA (EL CHORRILLO)</x:v>
      </x:c>
      <x:c r="L127" s="38" t="n">
        <x:v>-1</x:v>
      </x:c>
      <x:c r="M127" s="38" t="str">
        <x:v>Unidad</x:v>
      </x:c>
      <x:c r="N127" s="38" t="n">
        <x:v>1</x:v>
      </x:c>
      <x:c r="O127" s="38" t="str">
        <x:v>Unidad</x:v>
      </x:c>
      <x:c r="P127" s="99" t="n">
        <x:v>4.116</x:v>
      </x:c>
      <x:c r="Q127" s="114" t="n">
        <x:v>0.5</x:v>
      </x:c>
      <x:c r="R127" s="99" t="n">
        <x:v>-2.06</x:v>
      </x:c>
      <x:c r="S127" s="99" t="n">
        <x:f>IFERROR(R127/L127,P127*(1-Q127))</x:f>
        <x:v>2.06</x:v>
      </x:c>
      <x:c r="T127" s="114" t="n">
        <x:v>0.07</x:v>
      </x:c>
      <x:c r="U127" s="99" t="n">
        <x:f>S127*(1+T127)</x:f>
        <x:v>2.2042</x:v>
      </x:c>
      <x:c r="V127" s="99" t="n">
        <x:f>S127</x:f>
        <x:v>2.06</x:v>
      </x:c>
      <x:c r="W127" s="99" t="n">
        <x:f>V127-S127</x:f>
        <x:v>0</x:v>
      </x:c>
      <x:c r="X127" s="114" t="n">
        <x:f>IFERROR(W127/V127,0)</x:f>
        <x:v>0</x:v>
      </x:c>
      <x:c r="Y127" s="38" t="str">
        <x:v>Por unidad</x:v>
      </x:c>
      <x:c r="Z127" s="38" t="str">
        <x:f>IF(Y127="Botella / 3 instalaciones","Precio botella / 3",IF(Y127="Por rollo o metros proporcionales","Si se pasa rollo: rollo completo. Si se pasan metros: proporcional",Y127))</x:f>
        <x:v>Por unidad</x:v>
      </x:c>
      <x:c r="AA127" s="38" t="n">
        <x:v>1</x:v>
      </x:c>
      <x:c r="AB127" s="38" t="str"/>
      <x:c r="AC127" s="38" t="str"/>
      <x:c r="AD127" s="116" t="str">
        <x:v>2026-06-30</x:v>
      </x:c>
      <x:c r="AE127" s="38" t="str">
        <x:v>No</x:v>
      </x:c>
      <x:c r="AF127" s="38" t="str"/>
    </x:row>
    <x:row r="128">
      <x:c r="A128" s="38" t="str">
        <x:v>MAT-0127</x:v>
      </x:c>
      <x:c r="B128" s="38" t="str">
        <x:v>Sí</x:v>
      </x:c>
      <x:c r="C128" s="38" t="str">
        <x:v>Sin clasificar</x:v>
      </x:c>
      <x:c r="D128" s="38" t="str"/>
      <x:c r="E128" s="38" t="str">
        <x:v>Injerto De 90º 250/100 Mm</x:v>
      </x:c>
      <x:c r="F128" s="38" t="str">
        <x:v>INJERTO DE 90º 250/100 MM</x:v>
      </x:c>
      <x:c r="G128" s="38" t="str">
        <x:v>CG-INJ90-250100</x:v>
      </x:c>
      <x:c r="H128" s="38" t="str">
        <x:v>Comercial Santana Alemán y González, S.L. (Grupo SAG)</x:v>
      </x:c>
      <x:c r="I128" s="38" t="str">
        <x:v>Albarán NT/25001832</x:v>
      </x:c>
      <x:c r="J128" s="115" t="str">
        <x:v>10/07/2025</x:v>
      </x:c>
      <x:c r="K128" s="38" t="str">
        <x:v>TIENDA (EL CHORRILLO)</x:v>
      </x:c>
      <x:c r="L128" s="38" t="n">
        <x:v>-1</x:v>
      </x:c>
      <x:c r="M128" s="38" t="str">
        <x:v>Unidad</x:v>
      </x:c>
      <x:c r="N128" s="38" t="n">
        <x:v>1</x:v>
      </x:c>
      <x:c r="O128" s="38" t="str">
        <x:v>Unidad</x:v>
      </x:c>
      <x:c r="P128" s="99" t="n">
        <x:v>9.3</x:v>
      </x:c>
      <x:c r="Q128" s="114" t="n">
        <x:v>0.5</x:v>
      </x:c>
      <x:c r="R128" s="99" t="n">
        <x:v>-4.65</x:v>
      </x:c>
      <x:c r="S128" s="99" t="n">
        <x:f>IFERROR(R128/L128,P128*(1-Q128))</x:f>
        <x:v>4.65</x:v>
      </x:c>
      <x:c r="T128" s="114" t="n">
        <x:v>0.07</x:v>
      </x:c>
      <x:c r="U128" s="99" t="n">
        <x:f>S128*(1+T128)</x:f>
        <x:v>4.9755</x:v>
      </x:c>
      <x:c r="V128" s="99" t="n">
        <x:f>S128</x:f>
        <x:v>4.65</x:v>
      </x:c>
      <x:c r="W128" s="99" t="n">
        <x:f>V128-S128</x:f>
        <x:v>0</x:v>
      </x:c>
      <x:c r="X128" s="114" t="n">
        <x:f>IFERROR(W128/V128,0)</x:f>
        <x:v>0</x:v>
      </x:c>
      <x:c r="Y128" s="38" t="str">
        <x:v>Por unidad</x:v>
      </x:c>
      <x:c r="Z128" s="38" t="str">
        <x:f>IF(Y128="Botella / 3 instalaciones","Precio botella / 3",IF(Y128="Por rollo o metros proporcionales","Si se pasa rollo: rollo completo. Si se pasan metros: proporcional",Y128))</x:f>
        <x:v>Por unidad</x:v>
      </x:c>
      <x:c r="AA128" s="38" t="n">
        <x:v>1</x:v>
      </x:c>
      <x:c r="AB128" s="38" t="str"/>
      <x:c r="AC128" s="38" t="str"/>
      <x:c r="AD128" s="116" t="str">
        <x:v>2026-06-30</x:v>
      </x:c>
      <x:c r="AE128" s="38" t="str">
        <x:v>Sí</x:v>
      </x:c>
      <x:c r="AF128" s="38" t="str">
        <x:v>Revisar categoría antes de usar en cálculo automático.</x:v>
      </x:c>
    </x:row>
    <x:row r="129">
      <x:c r="A129" s="38" t="str">
        <x:v>MAT-0128</x:v>
      </x:c>
      <x:c r="B129" s="38" t="str">
        <x:v>Sí</x:v>
      </x:c>
      <x:c r="C129" s="38" t="str">
        <x:v>Sin clasificar</x:v>
      </x:c>
      <x:c r="D129" s="38" t="str"/>
      <x:c r="E129" s="38" t="str">
        <x:v>Abraz. Rm8+M10-100 (3 1/2")</x:v>
      </x:c>
      <x:c r="F129" s="38" t="str">
        <x:v>ABRAZ. RM8+M10-100 (3 1/2")</x:v>
      </x:c>
      <x:c r="G129" s="38" t="str">
        <x:v>15580100</x:v>
      </x:c>
      <x:c r="H129" s="38" t="str">
        <x:v>Comercial Santana Alemán y González, S.L. (Grupo SAG)</x:v>
      </x:c>
      <x:c r="I129" s="38" t="str">
        <x:v>Albarán NT/25001832</x:v>
      </x:c>
      <x:c r="J129" s="115" t="str">
        <x:v>10/07/2025</x:v>
      </x:c>
      <x:c r="K129" s="38" t="str">
        <x:v>TIENDA (EL CHORRILLO)</x:v>
      </x:c>
      <x:c r="L129" s="38" t="n">
        <x:v>-7</x:v>
      </x:c>
      <x:c r="M129" s="38" t="str">
        <x:v>Unidad</x:v>
      </x:c>
      <x:c r="N129" s="38" t="n">
        <x:v>1</x:v>
      </x:c>
      <x:c r="O129" s="38" t="str">
        <x:v>Unidad</x:v>
      </x:c>
      <x:c r="P129" s="99" t="n">
        <x:v>1.46</x:v>
      </x:c>
      <x:c r="Q129" s="114" t="n">
        <x:v>0.45</x:v>
      </x:c>
      <x:c r="R129" s="99" t="n">
        <x:v>-5.62</x:v>
      </x:c>
      <x:c r="S129" s="99" t="n">
        <x:f>IFERROR(R129/L129,P129*(1-Q129))</x:f>
        <x:v>0.8028571428571428</x:v>
      </x:c>
      <x:c r="T129" s="114" t="n">
        <x:v>0.07</x:v>
      </x:c>
      <x:c r="U129" s="99" t="n">
        <x:f>S129*(1+T129)</x:f>
        <x:v>0.8590571428571429</x:v>
      </x:c>
      <x:c r="V129" s="99" t="n">
        <x:f>S129</x:f>
        <x:v>0.8028571428571428</x:v>
      </x:c>
      <x:c r="W129" s="99" t="n">
        <x:f>V129-S129</x:f>
        <x:v>0</x:v>
      </x:c>
      <x:c r="X129" s="114" t="n">
        <x:f>IFERROR(W129/V129,0)</x:f>
        <x:v>0</x:v>
      </x:c>
      <x:c r="Y129" s="38" t="str">
        <x:v>Por unidad</x:v>
      </x:c>
      <x:c r="Z129" s="38" t="str">
        <x:f>IF(Y129="Botella / 3 instalaciones","Precio botella / 3",IF(Y129="Por rollo o metros proporcionales","Si se pasa rollo: rollo completo. Si se pasan metros: proporcional",Y129))</x:f>
        <x:v>Por unidad</x:v>
      </x:c>
      <x:c r="AA129" s="38" t="n">
        <x:v>1</x:v>
      </x:c>
      <x:c r="AB129" s="38" t="str"/>
      <x:c r="AC129" s="38" t="str"/>
      <x:c r="AD129" s="116" t="str">
        <x:v>2026-06-30</x:v>
      </x:c>
      <x:c r="AE129" s="38" t="str">
        <x:v>Sí</x:v>
      </x:c>
      <x:c r="AF129" s="38" t="str">
        <x:v>Revisar categoría antes de usar en cálculo automático.</x:v>
      </x:c>
    </x:row>
    <x:row r="130">
      <x:c r="A130" s="38" t="str">
        <x:v>MAT-0129</x:v>
      </x:c>
      <x:c r="B130" s="38" t="str">
        <x:v>Sí</x:v>
      </x:c>
      <x:c r="C130" s="38" t="str">
        <x:v>Sin clasificar</x:v>
      </x:c>
      <x:c r="D130" s="38" t="str"/>
      <x:c r="E130" s="38" t="str">
        <x:v>Unidad Ext. Vrv 5 R-32 Daikin Mod. Rxysa6Av1</x:v>
      </x:c>
      <x:c r="F130" s="38" t="str">
        <x:v>UNIDAD EXT. VRV 5 R-32 DAIKIN MOD. RXYSA6AV1</x:v>
      </x:c>
      <x:c r="G130" s="38" t="str">
        <x:v>RXYSA6AV1</x:v>
      </x:c>
      <x:c r="H130" s="38" t="str">
        <x:v>Comercial Santana Alemán y González, S.L. (Grupo SAG)</x:v>
      </x:c>
      <x:c r="I130" s="38" t="str">
        <x:v>Presupuesto TF/26001424</x:v>
      </x:c>
      <x:c r="J130" s="115" t="str">
        <x:v>25/04/2026</x:v>
      </x:c>
      <x:c r="K130" s="38" t="str">
        <x:v>INDEX CLIMA MPC, S.L.</x:v>
      </x:c>
      <x:c r="L130" s="38" t="n">
        <x:v>1</x:v>
      </x:c>
      <x:c r="M130" s="38" t="str">
        <x:v>Unidad</x:v>
      </x:c>
      <x:c r="N130" s="38" t="n">
        <x:v>1</x:v>
      </x:c>
      <x:c r="O130" s="38" t="str">
        <x:v>Unidad</x:v>
      </x:c>
      <x:c r="P130" s="99" t="n">
        <x:v>8951</x:v>
      </x:c>
      <x:c r="Q130" s="114" t="n">
        <x:v>0.45</x:v>
      </x:c>
      <x:c r="R130" s="99" t="n">
        <x:v>4923.05</x:v>
      </x:c>
      <x:c r="S130" s="99" t="n">
        <x:f>IFERROR(R130/L130,P130*(1-Q130))</x:f>
        <x:v>4923.05</x:v>
      </x:c>
      <x:c r="T130" s="114" t="n">
        <x:v>0.07</x:v>
      </x:c>
      <x:c r="U130" s="99" t="n">
        <x:f>S130*(1+T130)</x:f>
        <x:v>5267.663500000001</x:v>
      </x:c>
      <x:c r="V130" s="99" t="n">
        <x:f>S130</x:f>
        <x:v>4923.05</x:v>
      </x:c>
      <x:c r="W130" s="99" t="n">
        <x:f>V130-S130</x:f>
        <x:v>0</x:v>
      </x:c>
      <x:c r="X130" s="114" t="n">
        <x:f>IFERROR(W130/V130,0)</x:f>
        <x:v>0</x:v>
      </x:c>
      <x:c r="Y130" s="38" t="str">
        <x:v>Por unidad</x:v>
      </x:c>
      <x:c r="Z130" s="38" t="str">
        <x:f>IF(Y130="Botella / 3 instalaciones","Precio botella / 3",IF(Y130="Por rollo o metros proporcionales","Si se pasa rollo: rollo completo. Si se pasan metros: proporcional",Y130))</x:f>
        <x:v>Por unidad</x:v>
      </x:c>
      <x:c r="AA130" s="38" t="n">
        <x:v>1</x:v>
      </x:c>
      <x:c r="AB130" s="38" t="str"/>
      <x:c r="AC130" s="38" t="str"/>
      <x:c r="AD130" s="116" t="str">
        <x:v>2026-06-30</x:v>
      </x:c>
      <x:c r="AE130" s="38" t="str">
        <x:v>Sí</x:v>
      </x:c>
      <x:c r="AF130" s="38" t="str">
        <x:v>Revisar categoría antes de usar en cálculo automático.</x:v>
      </x:c>
    </x:row>
    <x:row r="131">
      <x:c r="A131" s="38" t="str">
        <x:v>MAT-0130</x:v>
      </x:c>
      <x:c r="B131" s="38" t="str">
        <x:v>Sí</x:v>
      </x:c>
      <x:c r="C131" s="38" t="str">
        <x:v>Sin clasificar</x:v>
      </x:c>
      <x:c r="D131" s="38" t="str"/>
      <x:c r="E131" s="38" t="str">
        <x:v>Unidad De Pared Vrv Daikin R-32 Mod. Fxaa25A</x:v>
      </x:c>
      <x:c r="F131" s="38" t="str">
        <x:v>UNIDAD DE PARED VRV DAIKIN R-32 MOD. FXAA25A</x:v>
      </x:c>
      <x:c r="G131" s="38" t="str">
        <x:v>FXAA25A</x:v>
      </x:c>
      <x:c r="H131" s="38" t="str">
        <x:v>Comercial Santana Alemán y González, S.L. (Grupo SAG)</x:v>
      </x:c>
      <x:c r="I131" s="38" t="str">
        <x:v>Presupuesto TF/26001424</x:v>
      </x:c>
      <x:c r="J131" s="115" t="str">
        <x:v>25/04/2026</x:v>
      </x:c>
      <x:c r="K131" s="38" t="str">
        <x:v>INDEX CLIMA MPC, S.L.</x:v>
      </x:c>
      <x:c r="L131" s="38" t="n">
        <x:v>2</x:v>
      </x:c>
      <x:c r="M131" s="38" t="str">
        <x:v>Unidad</x:v>
      </x:c>
      <x:c r="N131" s="38" t="n">
        <x:v>1</x:v>
      </x:c>
      <x:c r="O131" s="38" t="str">
        <x:v>Unidad</x:v>
      </x:c>
      <x:c r="P131" s="99" t="n">
        <x:v>1443</x:v>
      </x:c>
      <x:c r="Q131" s="114" t="n">
        <x:v>0.45</x:v>
      </x:c>
      <x:c r="R131" s="99" t="n">
        <x:v>1587.3</x:v>
      </x:c>
      <x:c r="S131" s="99" t="n">
        <x:f>IFERROR(R131/L131,P131*(1-Q131))</x:f>
        <x:v>793.65</x:v>
      </x:c>
      <x:c r="T131" s="114" t="n">
        <x:v>0.07</x:v>
      </x:c>
      <x:c r="U131" s="99" t="n">
        <x:f>S131*(1+T131)</x:f>
        <x:v>849.2055</x:v>
      </x:c>
      <x:c r="V131" s="99" t="n">
        <x:f>S131</x:f>
        <x:v>793.65</x:v>
      </x:c>
      <x:c r="W131" s="99" t="n">
        <x:f>V131-S131</x:f>
        <x:v>0</x:v>
      </x:c>
      <x:c r="X131" s="114" t="n">
        <x:f>IFERROR(W131/V131,0)</x:f>
        <x:v>0</x:v>
      </x:c>
      <x:c r="Y131" s="38" t="str">
        <x:v>Por unidad</x:v>
      </x:c>
      <x:c r="Z131" s="38" t="str">
        <x:f>IF(Y131="Botella / 3 instalaciones","Precio botella / 3",IF(Y131="Por rollo o metros proporcionales","Si se pasa rollo: rollo completo. Si se pasan metros: proporcional",Y131))</x:f>
        <x:v>Por unidad</x:v>
      </x:c>
      <x:c r="AA131" s="38" t="n">
        <x:v>1</x:v>
      </x:c>
      <x:c r="AB131" s="38" t="str"/>
      <x:c r="AC131" s="38" t="str"/>
      <x:c r="AD131" s="116" t="str">
        <x:v>2026-06-30</x:v>
      </x:c>
      <x:c r="AE131" s="38" t="str">
        <x:v>Sí</x:v>
      </x:c>
      <x:c r="AF131" s="38" t="str">
        <x:v>Revisar categoría antes de usar en cálculo automático.</x:v>
      </x:c>
    </x:row>
    <x:row r="132">
      <x:c r="A132" s="38" t="str">
        <x:v>MAT-0131</x:v>
      </x:c>
      <x:c r="B132" s="38" t="str">
        <x:v>Sí</x:v>
      </x:c>
      <x:c r="C132" s="38" t="str">
        <x:v>Sin clasificar</x:v>
      </x:c>
      <x:c r="D132" s="38" t="str"/>
      <x:c r="E132" s="38" t="str">
        <x:v>Unidad De Pared Vrv Daikin R-32 Mod. Fxaa32A</x:v>
      </x:c>
      <x:c r="F132" s="38" t="str">
        <x:v>UNIDAD DE PARED VRV DAIKIN R-32 MOD. FXAA32A</x:v>
      </x:c>
      <x:c r="G132" s="38" t="str">
        <x:v>FXAA32A</x:v>
      </x:c>
      <x:c r="H132" s="38" t="str">
        <x:v>Comercial Santana Alemán y González, S.L. (Grupo SAG)</x:v>
      </x:c>
      <x:c r="I132" s="38" t="str">
        <x:v>Presupuesto TF/26001424</x:v>
      </x:c>
      <x:c r="J132" s="115" t="str">
        <x:v>25/04/2026</x:v>
      </x:c>
      <x:c r="K132" s="38" t="str">
        <x:v>INDEX CLIMA MPC, S.L.</x:v>
      </x:c>
      <x:c r="L132" s="38" t="n">
        <x:v>1</x:v>
      </x:c>
      <x:c r="M132" s="38" t="str">
        <x:v>Unidad</x:v>
      </x:c>
      <x:c r="N132" s="38" t="n">
        <x:v>1</x:v>
      </x:c>
      <x:c r="O132" s="38" t="str">
        <x:v>Unidad</x:v>
      </x:c>
      <x:c r="P132" s="99" t="n">
        <x:v>1481</x:v>
      </x:c>
      <x:c r="Q132" s="114" t="n">
        <x:v>0.45</x:v>
      </x:c>
      <x:c r="R132" s="99" t="n">
        <x:v>814.55</x:v>
      </x:c>
      <x:c r="S132" s="99" t="n">
        <x:f>IFERROR(R132/L132,P132*(1-Q132))</x:f>
        <x:v>814.55</x:v>
      </x:c>
      <x:c r="T132" s="114" t="n">
        <x:v>0.07</x:v>
      </x:c>
      <x:c r="U132" s="99" t="n">
        <x:f>S132*(1+T132)</x:f>
        <x:v>871.5685</x:v>
      </x:c>
      <x:c r="V132" s="99" t="n">
        <x:f>S132</x:f>
        <x:v>814.55</x:v>
      </x:c>
      <x:c r="W132" s="99" t="n">
        <x:f>V132-S132</x:f>
        <x:v>0</x:v>
      </x:c>
      <x:c r="X132" s="114" t="n">
        <x:f>IFERROR(W132/V132,0)</x:f>
        <x:v>0</x:v>
      </x:c>
      <x:c r="Y132" s="38" t="str">
        <x:v>Por unidad</x:v>
      </x:c>
      <x:c r="Z132" s="38" t="str">
        <x:f>IF(Y132="Botella / 3 instalaciones","Precio botella / 3",IF(Y132="Por rollo o metros proporcionales","Si se pasa rollo: rollo completo. Si se pasan metros: proporcional",Y132))</x:f>
        <x:v>Por unidad</x:v>
      </x:c>
      <x:c r="AA132" s="38" t="n">
        <x:v>1</x:v>
      </x:c>
      <x:c r="AB132" s="38" t="str"/>
      <x:c r="AC132" s="38" t="str"/>
      <x:c r="AD132" s="116" t="str">
        <x:v>2026-06-30</x:v>
      </x:c>
      <x:c r="AE132" s="38" t="str">
        <x:v>Sí</x:v>
      </x:c>
      <x:c r="AF132" s="38" t="str">
        <x:v>Revisar categoría antes de usar en cálculo automático.</x:v>
      </x:c>
    </x:row>
    <x:row r="133">
      <x:c r="A133" s="38" t="str">
        <x:v>MAT-0132</x:v>
      </x:c>
      <x:c r="B133" s="38" t="str">
        <x:v>Sí</x:v>
      </x:c>
      <x:c r="C133" s="38" t="str">
        <x:v>Sin clasificar</x:v>
      </x:c>
      <x:c r="D133" s="38" t="str"/>
      <x:c r="E133" s="38" t="str">
        <x:v>Unidad De Pared Vrv Daikin R-32 Mod. Fxaa40A</x:v>
      </x:c>
      <x:c r="F133" s="38" t="str">
        <x:v>UNIDAD DE PARED VRV DAIKIN R-32 MOD. FXAA40A</x:v>
      </x:c>
      <x:c r="G133" s="38" t="str">
        <x:v>FXAA40A</x:v>
      </x:c>
      <x:c r="H133" s="38" t="str">
        <x:v>Comercial Santana Alemán y González, S.L. (Grupo SAG)</x:v>
      </x:c>
      <x:c r="I133" s="38" t="str">
        <x:v>Presupuesto TF/26001424</x:v>
      </x:c>
      <x:c r="J133" s="115" t="str">
        <x:v>25/04/2026</x:v>
      </x:c>
      <x:c r="K133" s="38" t="str">
        <x:v>INDEX CLIMA MPC, S.L.</x:v>
      </x:c>
      <x:c r="L133" s="38" t="n">
        <x:v>2</x:v>
      </x:c>
      <x:c r="M133" s="38" t="str">
        <x:v>Unidad</x:v>
      </x:c>
      <x:c r="N133" s="38" t="n">
        <x:v>1</x:v>
      </x:c>
      <x:c r="O133" s="38" t="str">
        <x:v>Unidad</x:v>
      </x:c>
      <x:c r="P133" s="99" t="n">
        <x:v>1560</x:v>
      </x:c>
      <x:c r="Q133" s="114" t="n">
        <x:v>0.45</x:v>
      </x:c>
      <x:c r="R133" s="99" t="n">
        <x:v>1716</x:v>
      </x:c>
      <x:c r="S133" s="99" t="n">
        <x:f>IFERROR(R133/L133,P133*(1-Q133))</x:f>
        <x:v>858</x:v>
      </x:c>
      <x:c r="T133" s="114" t="n">
        <x:v>0.07</x:v>
      </x:c>
      <x:c r="U133" s="99" t="n">
        <x:f>S133*(1+T133)</x:f>
        <x:v>918.0600000000001</x:v>
      </x:c>
      <x:c r="V133" s="99" t="n">
        <x:f>S133</x:f>
        <x:v>858</x:v>
      </x:c>
      <x:c r="W133" s="99" t="n">
        <x:f>V133-S133</x:f>
        <x:v>0</x:v>
      </x:c>
      <x:c r="X133" s="114" t="n">
        <x:f>IFERROR(W133/V133,0)</x:f>
        <x:v>0</x:v>
      </x:c>
      <x:c r="Y133" s="38" t="str">
        <x:v>Por unidad</x:v>
      </x:c>
      <x:c r="Z133" s="38" t="str">
        <x:f>IF(Y133="Botella / 3 instalaciones","Precio botella / 3",IF(Y133="Por rollo o metros proporcionales","Si se pasa rollo: rollo completo. Si se pasan metros: proporcional",Y133))</x:f>
        <x:v>Por unidad</x:v>
      </x:c>
      <x:c r="AA133" s="38" t="n">
        <x:v>1</x:v>
      </x:c>
      <x:c r="AB133" s="38" t="str"/>
      <x:c r="AC133" s="38" t="str"/>
      <x:c r="AD133" s="116" t="str">
        <x:v>2026-06-30</x:v>
      </x:c>
      <x:c r="AE133" s="38" t="str">
        <x:v>Sí</x:v>
      </x:c>
      <x:c r="AF133" s="38" t="str">
        <x:v>Revisar categoría antes de usar en cálculo automático.</x:v>
      </x:c>
    </x:row>
    <x:row r="134">
      <x:c r="A134" s="38" t="str">
        <x:v>MAT-0133</x:v>
      </x:c>
      <x:c r="B134" s="38" t="str">
        <x:v>Sí</x:v>
      </x:c>
      <x:c r="C134" s="38" t="str">
        <x:v>Electricidad</x:v>
      </x:c>
      <x:c r="D134" s="38" t="str">
        <x:v>Cable eléctrico</x:v>
      </x:c>
      <x:c r="E134" s="38" t="str">
        <x:v>Control Remoto Por Cable Daikin Mod. Brc1H52W Blanco</x:v>
      </x:c>
      <x:c r="F134" s="38" t="str">
        <x:v>CONTROL REMOTO POR CABLE DAIKIN MOD. BRC1H52W BLANCO</x:v>
      </x:c>
      <x:c r="G134" s="38" t="str">
        <x:v>BRC1H52W</x:v>
      </x:c>
      <x:c r="H134" s="38" t="str">
        <x:v>Comercial Santana Alemán y González, S.L. (Grupo SAG)</x:v>
      </x:c>
      <x:c r="I134" s="38" t="str">
        <x:v>Presupuesto TF/26001424</x:v>
      </x:c>
      <x:c r="J134" s="115" t="str">
        <x:v>25/04/2026</x:v>
      </x:c>
      <x:c r="K134" s="38" t="str">
        <x:v>INDEX CLIMA MPC, S.L.</x:v>
      </x:c>
      <x:c r="L134" s="38" t="n">
        <x:v>6</x:v>
      </x:c>
      <x:c r="M134" s="38" t="str">
        <x:v>Metro</x:v>
      </x:c>
      <x:c r="N134" s="38" t="n">
        <x:v>1</x:v>
      </x:c>
      <x:c r="O134" s="38" t="str">
        <x:v>Metro</x:v>
      </x:c>
      <x:c r="P134" s="99" t="n">
        <x:v>219</x:v>
      </x:c>
      <x:c r="Q134" s="114" t="n">
        <x:v>0.45</x:v>
      </x:c>
      <x:c r="R134" s="99" t="n">
        <x:v>722.7</x:v>
      </x:c>
      <x:c r="S134" s="99" t="n">
        <x:f>IFERROR(R134/L134,P134*(1-Q134))</x:f>
        <x:v>120.45</x:v>
      </x:c>
      <x:c r="T134" s="114" t="n">
        <x:v>0.07</x:v>
      </x:c>
      <x:c r="U134" s="99" t="n">
        <x:f>S134*(1+T134)</x:f>
        <x:v>128.88150000000002</x:v>
      </x:c>
      <x:c r="V134" s="99" t="n">
        <x:f>S134</x:f>
        <x:v>120.45</x:v>
      </x:c>
      <x:c r="W134" s="99" t="n">
        <x:f>V134-S134</x:f>
        <x:v>0</x:v>
      </x:c>
      <x:c r="X134" s="114" t="n">
        <x:f>IFERROR(W134/V134,0)</x:f>
        <x:v>0</x:v>
      </x:c>
      <x:c r="Y134" s="38" t="str">
        <x:v>Por metros</x:v>
      </x:c>
      <x:c r="Z134" s="38" t="str">
        <x:f>IF(Y134="Botella / 3 instalaciones","Precio botella / 3",IF(Y134="Por rollo o metros proporcionales","Si se pasa rollo: rollo completo. Si se pasan metros: proporcional",Y134))</x:f>
        <x:v>Por metros</x:v>
      </x:c>
      <x:c r="AA134" s="38" t="n">
        <x:v>1</x:v>
      </x:c>
      <x:c r="AB134" s="38" t="str"/>
      <x:c r="AC134" s="38" t="str"/>
      <x:c r="AD134" s="116" t="str">
        <x:v>2026-06-30</x:v>
      </x:c>
      <x:c r="AE134" s="38" t="str">
        <x:v>No</x:v>
      </x:c>
      <x:c r="AF134" s="38" t="str"/>
    </x:row>
    <x:row r="135">
      <x:c r="A135" s="38" t="str">
        <x:v>MAT-0134</x:v>
      </x:c>
      <x:c r="B135" s="38" t="str">
        <x:v>Sí</x:v>
      </x:c>
      <x:c r="C135" s="38" t="str">
        <x:v>Sin clasificar</x:v>
      </x:c>
      <x:c r="D135" s="38" t="str"/>
      <x:c r="E135" s="38" t="str">
        <x:v>Derivador Daikin Refnet Mod. Khrq22M20Ta</x:v>
      </x:c>
      <x:c r="F135" s="38" t="str">
        <x:v>DERIVADOR DAIKIN REFNET MOD. KHRQ22M20TA</x:v>
      </x:c>
      <x:c r="G135" s="38" t="str">
        <x:v>KHRQ22M20TA</x:v>
      </x:c>
      <x:c r="H135" s="38" t="str">
        <x:v>Comercial Santana Alemán y González, S.L. (Grupo SAG)</x:v>
      </x:c>
      <x:c r="I135" s="38" t="str">
        <x:v>Presupuesto TF/26001424</x:v>
      </x:c>
      <x:c r="J135" s="115" t="str">
        <x:v>25/04/2026</x:v>
      </x:c>
      <x:c r="K135" s="38" t="str">
        <x:v>INDEX CLIMA MPC, S.L.</x:v>
      </x:c>
      <x:c r="L135" s="38" t="n">
        <x:v>4</x:v>
      </x:c>
      <x:c r="M135" s="38" t="str">
        <x:v>m²</x:v>
      </x:c>
      <x:c r="N135" s="38" t="n">
        <x:v>1</x:v>
      </x:c>
      <x:c r="O135" s="38" t="str">
        <x:v>m²</x:v>
      </x:c>
      <x:c r="P135" s="99" t="n">
        <x:v>188</x:v>
      </x:c>
      <x:c r="Q135" s="114" t="n">
        <x:v>0.45</x:v>
      </x:c>
      <x:c r="R135" s="99" t="n">
        <x:v>413.6</x:v>
      </x:c>
      <x:c r="S135" s="99" t="n">
        <x:f>IFERROR(R135/L135,P135*(1-Q135))</x:f>
        <x:v>103.4</x:v>
      </x:c>
      <x:c r="T135" s="114" t="n">
        <x:v>0.07</x:v>
      </x:c>
      <x:c r="U135" s="99" t="n">
        <x:f>S135*(1+T135)</x:f>
        <x:v>110.63800000000002</x:v>
      </x:c>
      <x:c r="V135" s="99" t="n">
        <x:f>S135</x:f>
        <x:v>103.4</x:v>
      </x:c>
      <x:c r="W135" s="99" t="n">
        <x:f>V135-S135</x:f>
        <x:v>0</x:v>
      </x:c>
      <x:c r="X135" s="114" t="n">
        <x:f>IFERROR(W135/V135,0)</x:f>
        <x:v>0</x:v>
      </x:c>
      <x:c r="Y135" s="38" t="str">
        <x:v>Por unidad</x:v>
      </x:c>
      <x:c r="Z135" s="38" t="str">
        <x:f>IF(Y135="Botella / 3 instalaciones","Precio botella / 3",IF(Y135="Por rollo o metros proporcionales","Si se pasa rollo: rollo completo. Si se pasan metros: proporcional",Y135))</x:f>
        <x:v>Por unidad</x:v>
      </x:c>
      <x:c r="AA135" s="38" t="n">
        <x:v>1</x:v>
      </x:c>
      <x:c r="AB135" s="38" t="str"/>
      <x:c r="AC135" s="38" t="str"/>
      <x:c r="AD135" s="116" t="str">
        <x:v>2026-06-30</x:v>
      </x:c>
      <x:c r="AE135" s="38" t="str">
        <x:v>Sí</x:v>
      </x:c>
      <x:c r="AF135" s="38" t="str">
        <x:v>Revisar categoría antes de usar en cálculo automático.</x:v>
      </x:c>
    </x:row>
    <x:row r="136">
      <x:c r="A136" s="38" t="str">
        <x:v>MAT-0135</x:v>
      </x:c>
      <x:c r="B136" s="38" t="str">
        <x:v>Sí</x:v>
      </x:c>
      <x:c r="C136" s="38" t="str">
        <x:v>Sin clasificar</x:v>
      </x:c>
      <x:c r="D136" s="38" t="str"/>
      <x:c r="E136" s="38" t="str">
        <x:v>Rollo De Cobre Desnudo 1/4 0,8 Mm 15,25 M</x:v>
      </x:c>
      <x:c r="F136" s="38" t="str">
        <x:v>ROLLO DE COBRE DESNUDO 1/4 0,8 MM 15,25 M</x:v>
      </x:c>
      <x:c r="G136" s="38" t="str">
        <x:v>4101124</x:v>
      </x:c>
      <x:c r="H136" s="38" t="str">
        <x:v>Comercial Santana Alemán y González, S.L. (Grupo SAG)</x:v>
      </x:c>
      <x:c r="I136" s="38" t="str">
        <x:v>Presupuesto TF/26001424</x:v>
      </x:c>
      <x:c r="J136" s="115" t="str">
        <x:v>25/04/2026</x:v>
      </x:c>
      <x:c r="K136" s="38" t="str">
        <x:v>INDEX CLIMA MPC, S.L.</x:v>
      </x:c>
      <x:c r="L136" s="38" t="n">
        <x:v>1</x:v>
      </x:c>
      <x:c r="M136" s="38" t="str">
        <x:v>Unidad</x:v>
      </x:c>
      <x:c r="N136" s="38" t="n">
        <x:v>1</x:v>
      </x:c>
      <x:c r="O136" s="38" t="str">
        <x:v>Unidad</x:v>
      </x:c>
      <x:c r="P136" s="99" t="n">
        <x:v>29.5</x:v>
      </x:c>
      <x:c r="Q136" s="114" t="n">
        <x:v>0</x:v>
      </x:c>
      <x:c r="R136" s="99" t="n">
        <x:v>29.5</x:v>
      </x:c>
      <x:c r="S136" s="99" t="n">
        <x:f>IFERROR(R136/L136,P136*(1-Q136))</x:f>
        <x:v>29.5</x:v>
      </x:c>
      <x:c r="T136" s="114" t="n">
        <x:v>0.07</x:v>
      </x:c>
      <x:c r="U136" s="99" t="n">
        <x:f>S136*(1+T136)</x:f>
        <x:v>31.565</x:v>
      </x:c>
      <x:c r="V136" s="99" t="n">
        <x:f>S136</x:f>
        <x:v>29.5</x:v>
      </x:c>
      <x:c r="W136" s="99" t="n">
        <x:f>V136-S136</x:f>
        <x:v>0</x:v>
      </x:c>
      <x:c r="X136" s="114" t="n">
        <x:f>IFERROR(W136/V136,0)</x:f>
        <x:v>0</x:v>
      </x:c>
      <x:c r="Y136" s="38" t="str">
        <x:v>Por unidad</x:v>
      </x:c>
      <x:c r="Z136" s="38" t="str">
        <x:f>IF(Y136="Botella / 3 instalaciones","Precio botella / 3",IF(Y136="Por rollo o metros proporcionales","Si se pasa rollo: rollo completo. Si se pasan metros: proporcional",Y136))</x:f>
        <x:v>Por unidad</x:v>
      </x:c>
      <x:c r="AA136" s="38" t="n">
        <x:v>1</x:v>
      </x:c>
      <x:c r="AB136" s="38" t="str"/>
      <x:c r="AC136" s="38" t="str"/>
      <x:c r="AD136" s="116" t="str">
        <x:v>2026-06-30</x:v>
      </x:c>
      <x:c r="AE136" s="38" t="str">
        <x:v>Sí</x:v>
      </x:c>
      <x:c r="AF136" s="38" t="str">
        <x:v>Revisar categoría antes de usar en cálculo automático.</x:v>
      </x:c>
    </x:row>
    <x:row r="137">
      <x:c r="A137" s="38" t="str">
        <x:v>MAT-0136</x:v>
      </x:c>
      <x:c r="B137" s="38" t="str">
        <x:v>Sí</x:v>
      </x:c>
      <x:c r="C137" s="38" t="str">
        <x:v>Tubería frigorífica</x:v>
      </x:c>
      <x:c r="D137" s="38" t="str">
        <x:v>Cobre frigorífico aislado</x:v>
      </x:c>
      <x:c r="E137" s="38" t="str">
        <x:v>Ml Tubo Cobre Rigido 3/8 * 0,8Mm (5 Metros)</x:v>
      </x:c>
      <x:c r="F137" s="38" t="str">
        <x:v>ML TUBO COBRE RIGIDO 3/8 * 0,8MM (5 METROS)</x:v>
      </x:c>
      <x:c r="G137" s="38" t="str">
        <x:v>4101006</x:v>
      </x:c>
      <x:c r="H137" s="38" t="str">
        <x:v>Comercial Santana Alemán y González, S.L. (Grupo SAG)</x:v>
      </x:c>
      <x:c r="I137" s="38" t="str">
        <x:v>Presupuesto TF/26001424</x:v>
      </x:c>
      <x:c r="J137" s="115" t="str">
        <x:v>25/04/2026</x:v>
      </x:c>
      <x:c r="K137" s="38" t="str">
        <x:v>INDEX CLIMA MPC, S.L.</x:v>
      </x:c>
      <x:c r="L137" s="38" t="n">
        <x:v>40</x:v>
      </x:c>
      <x:c r="M137" s="38" t="str">
        <x:v>Unidad</x:v>
      </x:c>
      <x:c r="N137" s="38" t="n">
        <x:v>1</x:v>
      </x:c>
      <x:c r="O137" s="38" t="str">
        <x:v>Unidad</x:v>
      </x:c>
      <x:c r="P137" s="99" t="n">
        <x:v>3.7</x:v>
      </x:c>
      <x:c r="Q137" s="114" t="n">
        <x:v>0</x:v>
      </x:c>
      <x:c r="R137" s="99" t="n">
        <x:v>148</x:v>
      </x:c>
      <x:c r="S137" s="99" t="n">
        <x:f>IFERROR(R137/L137,P137*(1-Q137))</x:f>
        <x:v>3.7</x:v>
      </x:c>
      <x:c r="T137" s="114" t="n">
        <x:v>0.07</x:v>
      </x:c>
      <x:c r="U137" s="99" t="n">
        <x:f>S137*(1+T137)</x:f>
        <x:v>3.9590000000000005</x:v>
      </x:c>
      <x:c r="V137" s="99" t="n">
        <x:f>S137</x:f>
        <x:v>3.7</x:v>
      </x:c>
      <x:c r="W137" s="99" t="n">
        <x:f>V137-S137</x:f>
        <x:v>0</x:v>
      </x:c>
      <x:c r="X137" s="114" t="n">
        <x:f>IFERROR(W137/V137,0)</x:f>
        <x:v>0</x:v>
      </x:c>
      <x:c r="Y137" s="38" t="str">
        <x:v>Por unidad</x:v>
      </x:c>
      <x:c r="Z137" s="38" t="str">
        <x:f>IF(Y137="Botella / 3 instalaciones","Precio botella / 3",IF(Y137="Por rollo o metros proporcionales","Si se pasa rollo: rollo completo. Si se pasan metros: proporcional",Y137))</x:f>
        <x:v>Por unidad</x:v>
      </x:c>
      <x:c r="AA137" s="38" t="n">
        <x:v>1</x:v>
      </x:c>
      <x:c r="AB137" s="38" t="str"/>
      <x:c r="AC137" s="38" t="str"/>
      <x:c r="AD137" s="116" t="str">
        <x:v>2026-06-30</x:v>
      </x:c>
      <x:c r="AE137" s="38" t="str">
        <x:v>No</x:v>
      </x:c>
      <x:c r="AF137" s="38" t="str"/>
    </x:row>
    <x:row r="138">
      <x:c r="A138" s="38" t="str">
        <x:v>MAT-0137</x:v>
      </x:c>
      <x:c r="B138" s="38" t="str">
        <x:v>Sí</x:v>
      </x:c>
      <x:c r="C138" s="38" t="str">
        <x:v>Tubería frigorífica</x:v>
      </x:c>
      <x:c r="D138" s="38" t="str">
        <x:v>Cobre frigorífico aislado</x:v>
      </x:c>
      <x:c r="E138" s="38" t="str">
        <x:v>Ml Tubo Cobre Rigido 1/2" * 0,8Mm (5 Metros)</x:v>
      </x:c>
      <x:c r="F138" s="38" t="str">
        <x:v>ML TUBO COBRE RIGIDO 1/2" * 0,8MM (5 METROS)</x:v>
      </x:c>
      <x:c r="G138" s="38" t="str">
        <x:v>4101134</x:v>
      </x:c>
      <x:c r="H138" s="38" t="str">
        <x:v>Comercial Santana Alemán y González, S.L. (Grupo SAG)</x:v>
      </x:c>
      <x:c r="I138" s="38" t="str">
        <x:v>Presupuesto TF/26001424</x:v>
      </x:c>
      <x:c r="J138" s="115" t="str">
        <x:v>25/04/2026</x:v>
      </x:c>
      <x:c r="K138" s="38" t="str">
        <x:v>INDEX CLIMA MPC, S.L.</x:v>
      </x:c>
      <x:c r="L138" s="38" t="n">
        <x:v>10</x:v>
      </x:c>
      <x:c r="M138" s="38" t="str">
        <x:v>Unidad</x:v>
      </x:c>
      <x:c r="N138" s="38" t="n">
        <x:v>1</x:v>
      </x:c>
      <x:c r="O138" s="38" t="str">
        <x:v>Unidad</x:v>
      </x:c>
      <x:c r="P138" s="99" t="n">
        <x:v>4.9</x:v>
      </x:c>
      <x:c r="Q138" s="114" t="n">
        <x:v>0</x:v>
      </x:c>
      <x:c r="R138" s="99" t="n">
        <x:v>49</x:v>
      </x:c>
      <x:c r="S138" s="99" t="n">
        <x:f>IFERROR(R138/L138,P138*(1-Q138))</x:f>
        <x:v>4.9</x:v>
      </x:c>
      <x:c r="T138" s="114" t="n">
        <x:v>0.07</x:v>
      </x:c>
      <x:c r="U138" s="99" t="n">
        <x:f>S138*(1+T138)</x:f>
        <x:v>5.243</x:v>
      </x:c>
      <x:c r="V138" s="99" t="n">
        <x:f>S138</x:f>
        <x:v>4.9</x:v>
      </x:c>
      <x:c r="W138" s="99" t="n">
        <x:f>V138-S138</x:f>
        <x:v>0</x:v>
      </x:c>
      <x:c r="X138" s="114" t="n">
        <x:f>IFERROR(W138/V138,0)</x:f>
        <x:v>0</x:v>
      </x:c>
      <x:c r="Y138" s="38" t="str">
        <x:v>Por unidad</x:v>
      </x:c>
      <x:c r="Z138" s="38" t="str">
        <x:f>IF(Y138="Botella / 3 instalaciones","Precio botella / 3",IF(Y138="Por rollo o metros proporcionales","Si se pasa rollo: rollo completo. Si se pasan metros: proporcional",Y138))</x:f>
        <x:v>Por unidad</x:v>
      </x:c>
      <x:c r="AA138" s="38" t="n">
        <x:v>1</x:v>
      </x:c>
      <x:c r="AB138" s="38" t="str"/>
      <x:c r="AC138" s="38" t="str"/>
      <x:c r="AD138" s="116" t="str">
        <x:v>2026-06-30</x:v>
      </x:c>
      <x:c r="AE138" s="38" t="str">
        <x:v>No</x:v>
      </x:c>
      <x:c r="AF138" s="38" t="str"/>
    </x:row>
    <x:row r="139">
      <x:c r="A139" s="38" t="str">
        <x:v>MAT-0138</x:v>
      </x:c>
      <x:c r="B139" s="38" t="str">
        <x:v>Sí</x:v>
      </x:c>
      <x:c r="C139" s="38" t="str">
        <x:v>Tubería frigorífica</x:v>
      </x:c>
      <x:c r="D139" s="38" t="str">
        <x:v>Cobre frigorífico aislado</x:v>
      </x:c>
      <x:c r="E139" s="38" t="str">
        <x:v>Ml Tubo Cobre Rigido 5/8" * 0,8Mm (5 Metros)</x:v>
      </x:c>
      <x:c r="F139" s="38" t="str">
        <x:v>ML TUBO COBRE RIGIDO 5/8" * 0,8MM (5 METROS)</x:v>
      </x:c>
      <x:c r="G139" s="38" t="str">
        <x:v>4101135</x:v>
      </x:c>
      <x:c r="H139" s="38" t="str">
        <x:v>Comercial Santana Alemán y González, S.L. (Grupo SAG)</x:v>
      </x:c>
      <x:c r="I139" s="38" t="str">
        <x:v>Presupuesto TF/26001424</x:v>
      </x:c>
      <x:c r="J139" s="115" t="str">
        <x:v>25/04/2026</x:v>
      </x:c>
      <x:c r="K139" s="38" t="str">
        <x:v>INDEX CLIMA MPC, S.L.</x:v>
      </x:c>
      <x:c r="L139" s="38" t="n">
        <x:v>35</x:v>
      </x:c>
      <x:c r="M139" s="38" t="str">
        <x:v>Unidad</x:v>
      </x:c>
      <x:c r="N139" s="38" t="n">
        <x:v>1</x:v>
      </x:c>
      <x:c r="O139" s="38" t="str">
        <x:v>Unidad</x:v>
      </x:c>
      <x:c r="P139" s="99" t="n">
        <x:v>6.2</x:v>
      </x:c>
      <x:c r="Q139" s="114" t="n">
        <x:v>0</x:v>
      </x:c>
      <x:c r="R139" s="99" t="n">
        <x:v>217</x:v>
      </x:c>
      <x:c r="S139" s="99" t="n">
        <x:f>IFERROR(R139/L139,P139*(1-Q139))</x:f>
        <x:v>6.2</x:v>
      </x:c>
      <x:c r="T139" s="114" t="n">
        <x:v>0.07</x:v>
      </x:c>
      <x:c r="U139" s="99" t="n">
        <x:f>S139*(1+T139)</x:f>
        <x:v>6.634</x:v>
      </x:c>
      <x:c r="V139" s="99" t="n">
        <x:f>S139</x:f>
        <x:v>6.2</x:v>
      </x:c>
      <x:c r="W139" s="99" t="n">
        <x:f>V139-S139</x:f>
        <x:v>0</x:v>
      </x:c>
      <x:c r="X139" s="114" t="n">
        <x:f>IFERROR(W139/V139,0)</x:f>
        <x:v>0</x:v>
      </x:c>
      <x:c r="Y139" s="38" t="str">
        <x:v>Por unidad</x:v>
      </x:c>
      <x:c r="Z139" s="38" t="str">
        <x:f>IF(Y139="Botella / 3 instalaciones","Precio botella / 3",IF(Y139="Por rollo o metros proporcionales","Si se pasa rollo: rollo completo. Si se pasan metros: proporcional",Y139))</x:f>
        <x:v>Por unidad</x:v>
      </x:c>
      <x:c r="AA139" s="38" t="n">
        <x:v>1</x:v>
      </x:c>
      <x:c r="AB139" s="38" t="str"/>
      <x:c r="AC139" s="38" t="str"/>
      <x:c r="AD139" s="116" t="str">
        <x:v>2026-06-30</x:v>
      </x:c>
      <x:c r="AE139" s="38" t="str">
        <x:v>No</x:v>
      </x:c>
      <x:c r="AF139" s="38" t="str"/>
    </x:row>
    <x:row r="140">
      <x:c r="A140" s="38" t="str">
        <x:v>MAT-0139</x:v>
      </x:c>
      <x:c r="B140" s="38" t="str">
        <x:v>Sí</x:v>
      </x:c>
      <x:c r="C140" s="38" t="str">
        <x:v>Sin clasificar</x:v>
      </x:c>
      <x:c r="D140" s="38" t="str"/>
      <x:c r="E140" s="38" t="str">
        <x:v>Ml Coquilla Evocell It-Flex C1 9X6 (1/4) 2 Metros</x:v>
      </x:c>
      <x:c r="F140" s="38" t="str">
        <x:v>ML COQUILLA EVOCELL IT-FLEX C1 9X6 (1/4) 2 METROS</x:v>
      </x:c>
      <x:c r="G140" s="38" t="str">
        <x:v>EVF006</x:v>
      </x:c>
      <x:c r="H140" s="38" t="str">
        <x:v>Comercial Santana Alemán y González, S.L. (Grupo SAG)</x:v>
      </x:c>
      <x:c r="I140" s="38" t="str">
        <x:v>Presupuesto TF/26001424</x:v>
      </x:c>
      <x:c r="J140" s="115" t="str">
        <x:v>25/04/2026</x:v>
      </x:c>
      <x:c r="K140" s="38" t="str">
        <x:v>INDEX CLIMA MPC, S.L.</x:v>
      </x:c>
      <x:c r="L140" s="38" t="n">
        <x:v>16</x:v>
      </x:c>
      <x:c r="M140" s="38" t="str">
        <x:v>Unidad</x:v>
      </x:c>
      <x:c r="N140" s="38" t="n">
        <x:v>1</x:v>
      </x:c>
      <x:c r="O140" s="38" t="str">
        <x:v>Unidad</x:v>
      </x:c>
      <x:c r="P140" s="99" t="n">
        <x:v>1.189</x:v>
      </x:c>
      <x:c r="Q140" s="114" t="n">
        <x:v>0.65</x:v>
      </x:c>
      <x:c r="R140" s="99" t="n">
        <x:v>6.66</x:v>
      </x:c>
      <x:c r="S140" s="99" t="n">
        <x:f>IFERROR(R140/L140,P140*(1-Q140))</x:f>
        <x:v>0.41625</x:v>
      </x:c>
      <x:c r="T140" s="114" t="n">
        <x:v>0.03</x:v>
      </x:c>
      <x:c r="U140" s="99" t="n">
        <x:f>S140*(1+T140)</x:f>
        <x:v>0.4287375</x:v>
      </x:c>
      <x:c r="V140" s="99" t="n">
        <x:f>S140</x:f>
        <x:v>0.41625</x:v>
      </x:c>
      <x:c r="W140" s="99" t="n">
        <x:f>V140-S140</x:f>
        <x:v>0</x:v>
      </x:c>
      <x:c r="X140" s="114" t="n">
        <x:f>IFERROR(W140/V140,0)</x:f>
        <x:v>0</x:v>
      </x:c>
      <x:c r="Y140" s="38" t="str">
        <x:v>Por unidad</x:v>
      </x:c>
      <x:c r="Z140" s="38" t="str">
        <x:f>IF(Y140="Botella / 3 instalaciones","Precio botella / 3",IF(Y140="Por rollo o metros proporcionales","Si se pasa rollo: rollo completo. Si se pasan metros: proporcional",Y140))</x:f>
        <x:v>Por unidad</x:v>
      </x:c>
      <x:c r="AA140" s="38" t="n">
        <x:v>1</x:v>
      </x:c>
      <x:c r="AB140" s="38" t="str"/>
      <x:c r="AC140" s="38" t="str"/>
      <x:c r="AD140" s="116" t="str">
        <x:v>2026-06-30</x:v>
      </x:c>
      <x:c r="AE140" s="38" t="str">
        <x:v>Sí</x:v>
      </x:c>
      <x:c r="AF140" s="38" t="str">
        <x:v>Revisar categoría antes de usar en cálculo automático.</x:v>
      </x:c>
    </x:row>
    <x:row r="141">
      <x:c r="A141" s="38" t="str">
        <x:v>MAT-0140</x:v>
      </x:c>
      <x:c r="B141" s="38" t="str">
        <x:v>Sí</x:v>
      </x:c>
      <x:c r="C141" s="38" t="str">
        <x:v>Sin clasificar</x:v>
      </x:c>
      <x:c r="D141" s="38" t="str"/>
      <x:c r="E141" s="38" t="str">
        <x:v>Ml Coquilla Evocell It-Flex C1 9X10 (3/8) 2 Metros</x:v>
      </x:c>
      <x:c r="F141" s="38" t="str">
        <x:v>ML COQUILLA EVOCELL IT-FLEX C1 9X10 (3/8) 2 METROS</x:v>
      </x:c>
      <x:c r="G141" s="38" t="str">
        <x:v>EVF010</x:v>
      </x:c>
      <x:c r="H141" s="38" t="str">
        <x:v>Comercial Santana Alemán y González, S.L. (Grupo SAG)</x:v>
      </x:c>
      <x:c r="I141" s="38" t="str">
        <x:v>Presupuesto TF/26001424</x:v>
      </x:c>
      <x:c r="J141" s="115" t="str">
        <x:v>25/04/2026</x:v>
      </x:c>
      <x:c r="K141" s="38" t="str">
        <x:v>INDEX CLIMA MPC, S.L.</x:v>
      </x:c>
      <x:c r="L141" s="38" t="n">
        <x:v>40</x:v>
      </x:c>
      <x:c r="M141" s="38" t="str">
        <x:v>Unidad</x:v>
      </x:c>
      <x:c r="N141" s="38" t="n">
        <x:v>1</x:v>
      </x:c>
      <x:c r="O141" s="38" t="str">
        <x:v>Unidad</x:v>
      </x:c>
      <x:c r="P141" s="99" t="n">
        <x:v>1.297</x:v>
      </x:c>
      <x:c r="Q141" s="114" t="n">
        <x:v>0.65</x:v>
      </x:c>
      <x:c r="R141" s="99" t="n">
        <x:v>18.16</x:v>
      </x:c>
      <x:c r="S141" s="99" t="n">
        <x:f>IFERROR(R141/L141,P141*(1-Q141))</x:f>
        <x:v>0.454</x:v>
      </x:c>
      <x:c r="T141" s="114" t="n">
        <x:v>0.03</x:v>
      </x:c>
      <x:c r="U141" s="99" t="n">
        <x:f>S141*(1+T141)</x:f>
        <x:v>0.46762000000000004</x:v>
      </x:c>
      <x:c r="V141" s="99" t="n">
        <x:f>S141</x:f>
        <x:v>0.454</x:v>
      </x:c>
      <x:c r="W141" s="99" t="n">
        <x:f>V141-S141</x:f>
        <x:v>0</x:v>
      </x:c>
      <x:c r="X141" s="114" t="n">
        <x:f>IFERROR(W141/V141,0)</x:f>
        <x:v>0</x:v>
      </x:c>
      <x:c r="Y141" s="38" t="str">
        <x:v>Por unidad</x:v>
      </x:c>
      <x:c r="Z141" s="38" t="str">
        <x:f>IF(Y141="Botella / 3 instalaciones","Precio botella / 3",IF(Y141="Por rollo o metros proporcionales","Si se pasa rollo: rollo completo. Si se pasan metros: proporcional",Y141))</x:f>
        <x:v>Por unidad</x:v>
      </x:c>
      <x:c r="AA141" s="38" t="n">
        <x:v>1</x:v>
      </x:c>
      <x:c r="AB141" s="38" t="str"/>
      <x:c r="AC141" s="38" t="str"/>
      <x:c r="AD141" s="116" t="str">
        <x:v>2026-06-30</x:v>
      </x:c>
      <x:c r="AE141" s="38" t="str">
        <x:v>Sí</x:v>
      </x:c>
      <x:c r="AF141" s="38" t="str">
        <x:v>Revisar categoría antes de usar en cálculo automático.</x:v>
      </x:c>
    </x:row>
    <x:row r="142">
      <x:c r="A142" s="38" t="str">
        <x:v>MAT-0141</x:v>
      </x:c>
      <x:c r="B142" s="38" t="str">
        <x:v>Sí</x:v>
      </x:c>
      <x:c r="C142" s="38" t="str">
        <x:v>Sin clasificar</x:v>
      </x:c>
      <x:c r="D142" s="38" t="str"/>
      <x:c r="E142" s="38" t="str">
        <x:v>Ml Coquilla Evocell It-Flex C1 9X12 (1/2) 2 Metros</x:v>
      </x:c>
      <x:c r="F142" s="38" t="str">
        <x:v>ML COQUILLA EVOCELL IT-FLEX C1 9X12 (1/2) 2 METROS</x:v>
      </x:c>
      <x:c r="G142" s="38" t="str">
        <x:v>EVF012</x:v>
      </x:c>
      <x:c r="H142" s="38" t="str">
        <x:v>Comercial Santana Alemán y González, S.L. (Grupo SAG)</x:v>
      </x:c>
      <x:c r="I142" s="38" t="str">
        <x:v>Presupuesto TF/26001424</x:v>
      </x:c>
      <x:c r="J142" s="115" t="str">
        <x:v>25/04/2026</x:v>
      </x:c>
      <x:c r="K142" s="38" t="str">
        <x:v>INDEX CLIMA MPC, S.L.</x:v>
      </x:c>
      <x:c r="L142" s="38" t="n">
        <x:v>10</x:v>
      </x:c>
      <x:c r="M142" s="38" t="str">
        <x:v>Unidad</x:v>
      </x:c>
      <x:c r="N142" s="38" t="n">
        <x:v>1</x:v>
      </x:c>
      <x:c r="O142" s="38" t="str">
        <x:v>Unidad</x:v>
      </x:c>
      <x:c r="P142" s="99" t="n">
        <x:v>1.398</x:v>
      </x:c>
      <x:c r="Q142" s="114" t="n">
        <x:v>0.65</x:v>
      </x:c>
      <x:c r="R142" s="99" t="n">
        <x:v>4.89</x:v>
      </x:c>
      <x:c r="S142" s="99" t="n">
        <x:f>IFERROR(R142/L142,P142*(1-Q142))</x:f>
        <x:v>0.489</x:v>
      </x:c>
      <x:c r="T142" s="114" t="n">
        <x:v>0.03</x:v>
      </x:c>
      <x:c r="U142" s="99" t="n">
        <x:f>S142*(1+T142)</x:f>
        <x:v>0.50367</x:v>
      </x:c>
      <x:c r="V142" s="99" t="n">
        <x:f>S142</x:f>
        <x:v>0.489</x:v>
      </x:c>
      <x:c r="W142" s="99" t="n">
        <x:f>V142-S142</x:f>
        <x:v>0</x:v>
      </x:c>
      <x:c r="X142" s="114" t="n">
        <x:f>IFERROR(W142/V142,0)</x:f>
        <x:v>0</x:v>
      </x:c>
      <x:c r="Y142" s="38" t="str">
        <x:v>Por unidad</x:v>
      </x:c>
      <x:c r="Z142" s="38" t="str">
        <x:f>IF(Y142="Botella / 3 instalaciones","Precio botella / 3",IF(Y142="Por rollo o metros proporcionales","Si se pasa rollo: rollo completo. Si se pasan metros: proporcional",Y142))</x:f>
        <x:v>Por unidad</x:v>
      </x:c>
      <x:c r="AA142" s="38" t="n">
        <x:v>1</x:v>
      </x:c>
      <x:c r="AB142" s="38" t="str"/>
      <x:c r="AC142" s="38" t="str"/>
      <x:c r="AD142" s="116" t="str">
        <x:v>2026-06-30</x:v>
      </x:c>
      <x:c r="AE142" s="38" t="str">
        <x:v>Sí</x:v>
      </x:c>
      <x:c r="AF142" s="38" t="str">
        <x:v>Revisar categoría antes de usar en cálculo automático.</x:v>
      </x:c>
    </x:row>
    <x:row r="143">
      <x:c r="A143" s="38" t="str">
        <x:v>MAT-0142</x:v>
      </x:c>
      <x:c r="B143" s="38" t="str">
        <x:v>Sí</x:v>
      </x:c>
      <x:c r="C143" s="38" t="str">
        <x:v>Sin clasificar</x:v>
      </x:c>
      <x:c r="D143" s="38" t="str"/>
      <x:c r="E143" s="38" t="str">
        <x:v>Ml. Coquilla Kaiflex St 19 X 15 Mm (2Mt)</x:v>
      </x:c>
      <x:c r="F143" s="38" t="str">
        <x:v>ML. COQUILLA KAIFLEX ST 19 X 15 MM (2mt)</x:v>
      </x:c>
      <x:c r="G143" s="38" t="str">
        <x:v>4001269</x:v>
      </x:c>
      <x:c r="H143" s="38" t="str">
        <x:v>Comercial Santana Alemán y González, S.L. (Grupo SAG)</x:v>
      </x:c>
      <x:c r="I143" s="38" t="str">
        <x:v>Presupuesto TF/26001424</x:v>
      </x:c>
      <x:c r="J143" s="115" t="str">
        <x:v>25/04/2026</x:v>
      </x:c>
      <x:c r="K143" s="38" t="str">
        <x:v>INDEX CLIMA MPC, S.L.</x:v>
      </x:c>
      <x:c r="L143" s="38" t="n">
        <x:v>36</x:v>
      </x:c>
      <x:c r="M143" s="38" t="str">
        <x:v>Unidad</x:v>
      </x:c>
      <x:c r="N143" s="38" t="n">
        <x:v>1</x:v>
      </x:c>
      <x:c r="O143" s="38" t="str">
        <x:v>Unidad</x:v>
      </x:c>
      <x:c r="P143" s="99" t="n">
        <x:v>6.07</x:v>
      </x:c>
      <x:c r="Q143" s="114" t="n">
        <x:v>0.62</x:v>
      </x:c>
      <x:c r="R143" s="99" t="n">
        <x:v>83.04</x:v>
      </x:c>
      <x:c r="S143" s="99" t="n">
        <x:f>IFERROR(R143/L143,P143*(1-Q143))</x:f>
        <x:v>2.3066666666666666</x:v>
      </x:c>
      <x:c r="T143" s="114" t="n">
        <x:v>0.03</x:v>
      </x:c>
      <x:c r="U143" s="99" t="n">
        <x:f>S143*(1+T143)</x:f>
        <x:v>2.3758666666666666</x:v>
      </x:c>
      <x:c r="V143" s="99" t="n">
        <x:f>S143</x:f>
        <x:v>2.3066666666666666</x:v>
      </x:c>
      <x:c r="W143" s="99" t="n">
        <x:f>V143-S143</x:f>
        <x:v>0</x:v>
      </x:c>
      <x:c r="X143" s="114" t="n">
        <x:f>IFERROR(W143/V143,0)</x:f>
        <x:v>0</x:v>
      </x:c>
      <x:c r="Y143" s="38" t="str">
        <x:v>Por unidad</x:v>
      </x:c>
      <x:c r="Z143" s="38" t="str">
        <x:f>IF(Y143="Botella / 3 instalaciones","Precio botella / 3",IF(Y143="Por rollo o metros proporcionales","Si se pasa rollo: rollo completo. Si se pasan metros: proporcional",Y143))</x:f>
        <x:v>Por unidad</x:v>
      </x:c>
      <x:c r="AA143" s="38" t="n">
        <x:v>1</x:v>
      </x:c>
      <x:c r="AB143" s="38" t="str"/>
      <x:c r="AC143" s="38" t="str"/>
      <x:c r="AD143" s="116" t="str">
        <x:v>2026-06-30</x:v>
      </x:c>
      <x:c r="AE143" s="38" t="str">
        <x:v>Sí</x:v>
      </x:c>
      <x:c r="AF143" s="38" t="str">
        <x:v>Revisar categoría antes de usar en cálculo automático.</x:v>
      </x:c>
    </x:row>
    <x:row r="144">
      <x:c r="A144" s="38" t="str">
        <x:v>MAT-0143</x:v>
      </x:c>
      <x:c r="B144" s="38" t="str">
        <x:v>Sí</x:v>
      </x:c>
      <x:c r="C144" s="38" t="str">
        <x:v>Electricidad</x:v>
      </x:c>
      <x:c r="D144" s="38" t="str">
        <x:v>Cable eléctrico</x:v>
      </x:c>
      <x:c r="E144" s="38" t="str">
        <x:v>Ml Cable Bus ( 2X0.5+ 2X0.22 ) "Bobina De 500 M"</x:v>
      </x:c>
      <x:c r="F144" s="38" t="str">
        <x:v>ML CABLE BUS ( 2X0.5+ 2X0.22 ) "BOBINA DE 500 M"</x:v>
      </x:c>
      <x:c r="G144" s="38" t="str">
        <x:v>AZX6CABLEBUS500</x:v>
      </x:c>
      <x:c r="H144" s="38" t="str">
        <x:v>Comercial Santana Alemán y González, S.L. (Grupo SAG)</x:v>
      </x:c>
      <x:c r="I144" s="38" t="str">
        <x:v>Presupuesto TF/26001424</x:v>
      </x:c>
      <x:c r="J144" s="115" t="str">
        <x:v>25/04/2026</x:v>
      </x:c>
      <x:c r="K144" s="38" t="str">
        <x:v>INDEX CLIMA MPC, S.L.</x:v>
      </x:c>
      <x:c r="L144" s="38" t="n">
        <x:v>100</x:v>
      </x:c>
      <x:c r="M144" s="38" t="str">
        <x:v>Unidad</x:v>
      </x:c>
      <x:c r="N144" s="38" t="n">
        <x:v>1</x:v>
      </x:c>
      <x:c r="O144" s="38" t="str">
        <x:v>Unidad</x:v>
      </x:c>
      <x:c r="P144" s="99" t="n">
        <x:v>0.96</x:v>
      </x:c>
      <x:c r="Q144" s="114" t="n">
        <x:v>0.4</x:v>
      </x:c>
      <x:c r="R144" s="99" t="n">
        <x:v>57.6</x:v>
      </x:c>
      <x:c r="S144" s="99" t="n">
        <x:f>IFERROR(R144/L144,P144*(1-Q144))</x:f>
        <x:v>0.5760000000000001</x:v>
      </x:c>
      <x:c r="T144" s="114" t="n">
        <x:v>0.07</x:v>
      </x:c>
      <x:c r="U144" s="99" t="n">
        <x:f>S144*(1+T144)</x:f>
        <x:v>0.6163200000000001</x:v>
      </x:c>
      <x:c r="V144" s="99" t="n">
        <x:f>S144</x:f>
        <x:v>0.5760000000000001</x:v>
      </x:c>
      <x:c r="W144" s="99" t="n">
        <x:f>V144-S144</x:f>
        <x:v>0</x:v>
      </x:c>
      <x:c r="X144" s="114" t="n">
        <x:f>IFERROR(W144/V144,0)</x:f>
        <x:v>0</x:v>
      </x:c>
      <x:c r="Y144" s="38" t="str">
        <x:v>Por unidad</x:v>
      </x:c>
      <x:c r="Z144" s="38" t="str">
        <x:f>IF(Y144="Botella / 3 instalaciones","Precio botella / 3",IF(Y144="Por rollo o metros proporcionales","Si se pasa rollo: rollo completo. Si se pasan metros: proporcional",Y144))</x:f>
        <x:v>Por unidad</x:v>
      </x:c>
      <x:c r="AA144" s="38" t="n">
        <x:v>1</x:v>
      </x:c>
      <x:c r="AB144" s="38" t="str"/>
      <x:c r="AC144" s="38" t="str"/>
      <x:c r="AD144" s="116" t="str">
        <x:v>2026-06-30</x:v>
      </x:c>
      <x:c r="AE144" s="38" t="str">
        <x:v>No</x:v>
      </x:c>
      <x:c r="AF144" s="38" t="str"/>
    </x:row>
    <x:row r="145">
      <x:c r="A145" s="38" t="str">
        <x:v>MAT-0144</x:v>
      </x:c>
      <x:c r="B145" s="38" t="str">
        <x:v>Sí</x:v>
      </x:c>
      <x:c r="C145" s="38" t="str">
        <x:v>Sin clasificar</x:v>
      </x:c>
      <x:c r="D145" s="38" t="str"/>
      <x:c r="E145" s="38" t="str">
        <x:v>Unidad Exterior Daikin R-32 Multi Mod. 2Mxm50A</x:v>
      </x:c>
      <x:c r="F145" s="38" t="str">
        <x:v>UNIDAD EXTERIOR DAIKIN R-32 MULTI MOD. 2MXM50A</x:v>
      </x:c>
      <x:c r="G145" s="38" t="str">
        <x:v>2MXM50A</x:v>
      </x:c>
      <x:c r="H145" s="38" t="str">
        <x:v>Comercial Santana Alemán y González, S.L. (Grupo SAG)</x:v>
      </x:c>
      <x:c r="I145" s="38" t="str">
        <x:v>Presupuesto TF/26001424</x:v>
      </x:c>
      <x:c r="J145" s="115" t="str">
        <x:v>25/04/2026</x:v>
      </x:c>
      <x:c r="K145" s="38" t="str">
        <x:v>INDEX CLIMA MPC, S.L.</x:v>
      </x:c>
      <x:c r="L145" s="38" t="n">
        <x:v>1</x:v>
      </x:c>
      <x:c r="M145" s="38" t="str">
        <x:v>Unidad</x:v>
      </x:c>
      <x:c r="N145" s="38" t="n">
        <x:v>1</x:v>
      </x:c>
      <x:c r="O145" s="38" t="str">
        <x:v>Unidad</x:v>
      </x:c>
      <x:c r="P145" s="99" t="n">
        <x:v>1804</x:v>
      </x:c>
      <x:c r="Q145" s="114" t="n">
        <x:v>0.37</x:v>
      </x:c>
      <x:c r="R145" s="99" t="n">
        <x:v>1136.52</x:v>
      </x:c>
      <x:c r="S145" s="99" t="n">
        <x:f>IFERROR(R145/L145,P145*(1-Q145))</x:f>
        <x:v>1136.52</x:v>
      </x:c>
      <x:c r="T145" s="114" t="n">
        <x:v>0.07</x:v>
      </x:c>
      <x:c r="U145" s="99" t="n">
        <x:f>S145*(1+T145)</x:f>
        <x:v>1216.0764000000001</x:v>
      </x:c>
      <x:c r="V145" s="99" t="n">
        <x:f>S145</x:f>
        <x:v>1136.52</x:v>
      </x:c>
      <x:c r="W145" s="99" t="n">
        <x:f>V145-S145</x:f>
        <x:v>0</x:v>
      </x:c>
      <x:c r="X145" s="114" t="n">
        <x:f>IFERROR(W145/V145,0)</x:f>
        <x:v>0</x:v>
      </x:c>
      <x:c r="Y145" s="38" t="str">
        <x:v>Por unidad</x:v>
      </x:c>
      <x:c r="Z145" s="38" t="str">
        <x:f>IF(Y145="Botella / 3 instalaciones","Precio botella / 3",IF(Y145="Por rollo o metros proporcionales","Si se pasa rollo: rollo completo. Si se pasan metros: proporcional",Y145))</x:f>
        <x:v>Por unidad</x:v>
      </x:c>
      <x:c r="AA145" s="38" t="n">
        <x:v>1</x:v>
      </x:c>
      <x:c r="AB145" s="38" t="str"/>
      <x:c r="AC145" s="38" t="str"/>
      <x:c r="AD145" s="116" t="str">
        <x:v>2026-06-30</x:v>
      </x:c>
      <x:c r="AE145" s="38" t="str">
        <x:v>Sí</x:v>
      </x:c>
      <x:c r="AF145" s="38" t="str">
        <x:v>Revisar categoría antes de usar en cálculo automático.</x:v>
      </x:c>
    </x:row>
    <x:row r="146">
      <x:c r="A146" s="38" t="str">
        <x:v>MAT-0145</x:v>
      </x:c>
      <x:c r="B146" s="38" t="str">
        <x:v>Sí</x:v>
      </x:c>
      <x:c r="C146" s="38" t="str">
        <x:v>Máquina/Equipo</x:v>
      </x:c>
      <x:c r="D146" s="38" t="str">
        <x:v>Equipo climatización</x:v>
      </x:c>
      <x:c r="E146" s="38" t="str">
        <x:v>Ud. Interior Split Daikin R-32 Mod. Ftxm25A</x:v>
      </x:c>
      <x:c r="F146" s="38" t="str">
        <x:v>UD. INTERIOR SPLIT DAIKIN R-32 MOD. FTXM25A</x:v>
      </x:c>
      <x:c r="G146" s="38" t="str">
        <x:v>FTXM25A</x:v>
      </x:c>
      <x:c r="H146" s="38" t="str">
        <x:v>Comercial Santana Alemán y González, S.L. (Grupo SAG)</x:v>
      </x:c>
      <x:c r="I146" s="38" t="str">
        <x:v>Presupuesto TF/26001424</x:v>
      </x:c>
      <x:c r="J146" s="115" t="str">
        <x:v>25/04/2026</x:v>
      </x:c>
      <x:c r="K146" s="38" t="str">
        <x:v>INDEX CLIMA MPC, S.L.</x:v>
      </x:c>
      <x:c r="L146" s="38" t="n">
        <x:v>2</x:v>
      </x:c>
      <x:c r="M146" s="38" t="str">
        <x:v>m²</x:v>
      </x:c>
      <x:c r="N146" s="38" t="n">
        <x:v>1</x:v>
      </x:c>
      <x:c r="O146" s="38" t="str">
        <x:v>m²</x:v>
      </x:c>
      <x:c r="P146" s="99" t="n">
        <x:v>691</x:v>
      </x:c>
      <x:c r="Q146" s="114" t="n">
        <x:v>0.37</x:v>
      </x:c>
      <x:c r="R146" s="99" t="n">
        <x:v>870.66</x:v>
      </x:c>
      <x:c r="S146" s="99" t="n">
        <x:f>IFERROR(R146/L146,P146*(1-Q146))</x:f>
        <x:v>435.33</x:v>
      </x:c>
      <x:c r="T146" s="114" t="n">
        <x:v>0.07</x:v>
      </x:c>
      <x:c r="U146" s="99" t="n">
        <x:f>S146*(1+T146)</x:f>
        <x:v>465.80310000000003</x:v>
      </x:c>
      <x:c r="V146" s="99" t="n">
        <x:f>S146</x:f>
        <x:v>435.33</x:v>
      </x:c>
      <x:c r="W146" s="99" t="n">
        <x:f>V146-S146</x:f>
        <x:v>0</x:v>
      </x:c>
      <x:c r="X146" s="114" t="n">
        <x:f>IFERROR(W146/V146,0)</x:f>
        <x:v>0</x:v>
      </x:c>
      <x:c r="Y146" s="38" t="str">
        <x:v>Por unidad</x:v>
      </x:c>
      <x:c r="Z146" s="38" t="str">
        <x:f>IF(Y146="Botella / 3 instalaciones","Precio botella / 3",IF(Y146="Por rollo o metros proporcionales","Si se pasa rollo: rollo completo. Si se pasan metros: proporcional",Y146))</x:f>
        <x:v>Por unidad</x:v>
      </x:c>
      <x:c r="AA146" s="38" t="n">
        <x:v>1</x:v>
      </x:c>
      <x:c r="AB146" s="38" t="str"/>
      <x:c r="AC146" s="38" t="str"/>
      <x:c r="AD146" s="116" t="str">
        <x:v>2026-06-30</x:v>
      </x:c>
      <x:c r="AE146" s="38" t="str">
        <x:v>No</x:v>
      </x:c>
      <x:c r="AF146" s="38" t="str"/>
    </x:row>
    <x:row r="147">
      <x:c r="A147" s="38" t="str">
        <x:v>MAT-0146</x:v>
      </x:c>
      <x:c r="B147" s="38" t="str">
        <x:v>Sí</x:v>
      </x:c>
      <x:c r="C147" s="38" t="str">
        <x:v>Tubería frigorífica</x:v>
      </x:c>
      <x:c r="D147" s="38" t="str">
        <x:v>Cobre frigorífico aislado</x:v>
      </x:c>
      <x:c r="E147" s="38" t="str">
        <x:v>Rollo Tuberia De Cobre Preaislado Bitubo 1/4 X 3/8 20 M.</x:v>
      </x:c>
      <x:c r="F147" s="38" t="str">
        <x:v>ROLLO TUBERIA DE COBRE PREAISLADO BITUBO 1/4 X 3/8 20 M.</x:v>
      </x:c>
      <x:c r="G147" s="38" t="str">
        <x:v>4002053</x:v>
      </x:c>
      <x:c r="H147" s="38" t="str">
        <x:v>Comercial Santana Alemán y González, S.L. (Grupo SAG)</x:v>
      </x:c>
      <x:c r="I147" s="38" t="str">
        <x:v>Presupuesto TF/26001424</x:v>
      </x:c>
      <x:c r="J147" s="115" t="str">
        <x:v>25/04/2026</x:v>
      </x:c>
      <x:c r="K147" s="38" t="str">
        <x:v>INDEX CLIMA MPC, S.L.</x:v>
      </x:c>
      <x:c r="L147" s="38" t="n">
        <x:v>2</x:v>
      </x:c>
      <x:c r="M147" s="38" t="str">
        <x:v>Rollo</x:v>
      </x:c>
      <x:c r="N147" s="38" t="n">
        <x:v>20</x:v>
      </x:c>
      <x:c r="O147" s="38" t="str">
        <x:v>Metro</x:v>
      </x:c>
      <x:c r="P147" s="99" t="n">
        <x:v>110</x:v>
      </x:c>
      <x:c r="Q147" s="114" t="n">
        <x:v>0</x:v>
      </x:c>
      <x:c r="R147" s="99" t="n">
        <x:v>220</x:v>
      </x:c>
      <x:c r="S147" s="99" t="n">
        <x:f>IFERROR(R147/L147,P147*(1-Q147))</x:f>
        <x:v>110</x:v>
      </x:c>
      <x:c r="T147" s="114" t="n">
        <x:v>0.07</x:v>
      </x:c>
      <x:c r="U147" s="99" t="n">
        <x:f>S147*(1+T147)</x:f>
        <x:v>117.7</x:v>
      </x:c>
      <x:c r="V147" s="99" t="n">
        <x:f>S147</x:f>
        <x:v>110</x:v>
      </x:c>
      <x:c r="W147" s="99" t="n">
        <x:f>V147-S147</x:f>
        <x:v>0</x:v>
      </x:c>
      <x:c r="X147" s="114" t="n">
        <x:f>IFERROR(W147/V147,0)</x:f>
        <x:v>0</x:v>
      </x:c>
      <x:c r="Y147" s="38" t="str">
        <x:v>Por rollo o metros proporcionales</x:v>
      </x:c>
      <x:c r="Z147" s="38" t="str">
        <x:f>IF(Y147="Botella / 3 instalaciones","Precio botella / 3",IF(Y147="Por rollo o metros proporcionales","Si se pasa rollo: rollo completo. Si se pasan metros: proporcional",Y147))</x:f>
        <x:v>Si se pasa rollo: rollo completo. Si se pasan metros: proporcional</x:v>
      </x:c>
      <x:c r="AA147" s="38" t="n">
        <x:v>20</x:v>
      </x:c>
      <x:c r="AB147" s="38" t="str">
        <x:v>Sánchez Arencibia, S.A.</x:v>
      </x:c>
      <x:c r="AC147" s="38" t="str">
        <x:v>Alta</x:v>
      </x:c>
      <x:c r="AD147" s="116" t="str">
        <x:v>2026-06-30</x:v>
      </x:c>
      <x:c r="AE147" s="38" t="str">
        <x:v>No</x:v>
      </x:c>
      <x:c r="AF147" s="38" t="str"/>
    </x:row>
    <x:row r="148">
      <x:c r="A148" s="38" t="str">
        <x:v>MAT-0147</x:v>
      </x:c>
      <x:c r="B148" s="38" t="str">
        <x:v>Sí</x:v>
      </x:c>
      <x:c r="C148" s="38" t="str">
        <x:v>Tubería frigorífica</x:v>
      </x:c>
      <x:c r="D148" s="38" t="str">
        <x:v>Cobre frigorífico aislado</x:v>
      </x:c>
      <x:c r="E148" s="38" t="str">
        <x:v>Ml Canaleta Para Tuberias 60*80 Mm Con Film (2 Metros)</x:v>
      </x:c>
      <x:c r="F148" s="38" t="str">
        <x:v>ML CANALETA PARA TUBERIAS 60*80 MM CON FILM (2 METROS)</x:v>
      </x:c>
      <x:c r="G148" s="38" t="str">
        <x:v>0812BCF</x:v>
      </x:c>
      <x:c r="H148" s="38" t="str">
        <x:v>Comercial Santana Alemán y González, S.L. (Grupo SAG)</x:v>
      </x:c>
      <x:c r="I148" s="38" t="str">
        <x:v>Albarán NT/24002146</x:v>
      </x:c>
      <x:c r="J148" s="115" t="str">
        <x:v>26/07/2024</x:v>
      </x:c>
      <x:c r="K148" s="38" t="str">
        <x:v>TIENDA (EL CHORRILLO)</x:v>
      </x:c>
      <x:c r="L148" s="38" t="n">
        <x:v>6</x:v>
      </x:c>
      <x:c r="M148" s="38" t="str">
        <x:v>Metro</x:v>
      </x:c>
      <x:c r="N148" s="38" t="n">
        <x:v>1</x:v>
      </x:c>
      <x:c r="O148" s="38" t="str">
        <x:v>Metro</x:v>
      </x:c>
      <x:c r="P148" s="99" t="n">
        <x:v>7.6</x:v>
      </x:c>
      <x:c r="Q148" s="114" t="n">
        <x:v>0.45</x:v>
      </x:c>
      <x:c r="R148" s="99" t="n">
        <x:v>25.08</x:v>
      </x:c>
      <x:c r="S148" s="99" t="n">
        <x:f>IFERROR(R148/L148,P148*(1-Q148))</x:f>
        <x:v>4.18</x:v>
      </x:c>
      <x:c r="T148" s="114" t="n">
        <x:v>0.07</x:v>
      </x:c>
      <x:c r="U148" s="99" t="n">
        <x:f>S148*(1+T148)</x:f>
        <x:v>4.4726</x:v>
      </x:c>
      <x:c r="V148" s="99" t="n">
        <x:f>S148</x:f>
        <x:v>4.18</x:v>
      </x:c>
      <x:c r="W148" s="99" t="n">
        <x:f>V148-S148</x:f>
        <x:v>0</x:v>
      </x:c>
      <x:c r="X148" s="114" t="n">
        <x:f>IFERROR(W148/V148,0)</x:f>
        <x:v>0</x:v>
      </x:c>
      <x:c r="Y148" s="38" t="str">
        <x:v>Por metros</x:v>
      </x:c>
      <x:c r="Z148" s="38" t="str">
        <x:f>IF(Y148="Botella / 3 instalaciones","Precio botella / 3",IF(Y148="Por rollo o metros proporcionales","Si se pasa rollo: rollo completo. Si se pasan metros: proporcional",Y148))</x:f>
        <x:v>Por metros</x:v>
      </x:c>
      <x:c r="AA148" s="38" t="n">
        <x:v>1</x:v>
      </x:c>
      <x:c r="AB148" s="38" t="str"/>
      <x:c r="AC148" s="38" t="str"/>
      <x:c r="AD148" s="116" t="str">
        <x:v>2026-06-30</x:v>
      </x:c>
      <x:c r="AE148" s="38" t="str">
        <x:v>No</x:v>
      </x:c>
      <x:c r="AF148" s="38" t="str"/>
    </x:row>
    <x:row r="149">
      <x:c r="A149" s="38" t="str">
        <x:v>MAT-0148</x:v>
      </x:c>
      <x:c r="B149" s="38" t="str">
        <x:v>Sí</x:v>
      </x:c>
      <x:c r="C149" s="38" t="str">
        <x:v>Sin clasificar</x:v>
      </x:c>
      <x:c r="D149" s="38" t="str"/>
      <x:c r="E149" s="38" t="str">
        <x:v>Angulo Exterior 60*80 Mm</x:v>
      </x:c>
      <x:c r="F149" s="38" t="str">
        <x:v>ANGULO EXTERIOR 60*80 MM</x:v>
      </x:c>
      <x:c r="G149" s="38" t="str">
        <x:v>0806AE</x:v>
      </x:c>
      <x:c r="H149" s="38" t="str">
        <x:v>Comercial Santana Alemán y González, S.L. (Grupo SAG)</x:v>
      </x:c>
      <x:c r="I149" s="38" t="str">
        <x:v>Albarán NT/24002146</x:v>
      </x:c>
      <x:c r="J149" s="115" t="str">
        <x:v>26/07/2024</x:v>
      </x:c>
      <x:c r="K149" s="38" t="str">
        <x:v>TIENDA (EL CHORRILLO)</x:v>
      </x:c>
      <x:c r="L149" s="38" t="n">
        <x:v>2</x:v>
      </x:c>
      <x:c r="M149" s="38" t="str">
        <x:v>Unidad</x:v>
      </x:c>
      <x:c r="N149" s="38" t="n">
        <x:v>1</x:v>
      </x:c>
      <x:c r="O149" s="38" t="str">
        <x:v>Unidad</x:v>
      </x:c>
      <x:c r="P149" s="99" t="n">
        <x:v>4.2</x:v>
      </x:c>
      <x:c r="Q149" s="114" t="n">
        <x:v>0.45</x:v>
      </x:c>
      <x:c r="R149" s="99" t="n">
        <x:v>4.62</x:v>
      </x:c>
      <x:c r="S149" s="99" t="n">
        <x:f>IFERROR(R149/L149,P149*(1-Q149))</x:f>
        <x:v>2.31</x:v>
      </x:c>
      <x:c r="T149" s="114" t="n">
        <x:v>0.07</x:v>
      </x:c>
      <x:c r="U149" s="99" t="n">
        <x:f>S149*(1+T149)</x:f>
        <x:v>2.4717000000000002</x:v>
      </x:c>
      <x:c r="V149" s="99" t="n">
        <x:f>S149</x:f>
        <x:v>2.31</x:v>
      </x:c>
      <x:c r="W149" s="99" t="n">
        <x:f>V149-S149</x:f>
        <x:v>0</x:v>
      </x:c>
      <x:c r="X149" s="114" t="n">
        <x:f>IFERROR(W149/V149,0)</x:f>
        <x:v>0</x:v>
      </x:c>
      <x:c r="Y149" s="38" t="str">
        <x:v>Por unidad</x:v>
      </x:c>
      <x:c r="Z149" s="38" t="str">
        <x:f>IF(Y149="Botella / 3 instalaciones","Precio botella / 3",IF(Y149="Por rollo o metros proporcionales","Si se pasa rollo: rollo completo. Si se pasan metros: proporcional",Y149))</x:f>
        <x:v>Por unidad</x:v>
      </x:c>
      <x:c r="AA149" s="38" t="n">
        <x:v>1</x:v>
      </x:c>
      <x:c r="AB149" s="38" t="str"/>
      <x:c r="AC149" s="38" t="str"/>
      <x:c r="AD149" s="116" t="str">
        <x:v>2026-06-30</x:v>
      </x:c>
      <x:c r="AE149" s="38" t="str">
        <x:v>Sí</x:v>
      </x:c>
      <x:c r="AF149" s="38" t="str">
        <x:v>Revisar categoría antes de usar en cálculo automático.</x:v>
      </x:c>
    </x:row>
    <x:row r="150">
      <x:c r="A150" s="38" t="str">
        <x:v>MAT-0149</x:v>
      </x:c>
      <x:c r="B150" s="38" t="str">
        <x:v>Sí</x:v>
      </x:c>
      <x:c r="C150" s="38" t="str">
        <x:v>Sin clasificar</x:v>
      </x:c>
      <x:c r="D150" s="38" t="str"/>
      <x:c r="E150" s="38" t="str">
        <x:v>Curva A Muro Cm 60*80 Mm</x:v>
      </x:c>
      <x:c r="F150" s="38" t="str">
        <x:v>CURVA A MURO CM 60*80 MM</x:v>
      </x:c>
      <x:c r="G150" s="38" t="str">
        <x:v>0809CM</x:v>
      </x:c>
      <x:c r="H150" s="38" t="str">
        <x:v>Comercial Santana Alemán y González, S.L. (Grupo SAG)</x:v>
      </x:c>
      <x:c r="I150" s="38" t="str">
        <x:v>Albarán NT/24002146</x:v>
      </x:c>
      <x:c r="J150" s="115" t="str">
        <x:v>26/07/2024</x:v>
      </x:c>
      <x:c r="K150" s="38" t="str">
        <x:v>TIENDA (EL CHORRILLO)</x:v>
      </x:c>
      <x:c r="L150" s="38" t="n">
        <x:v>2</x:v>
      </x:c>
      <x:c r="M150" s="38" t="str">
        <x:v>Unidad</x:v>
      </x:c>
      <x:c r="N150" s="38" t="n">
        <x:v>1</x:v>
      </x:c>
      <x:c r="O150" s="38" t="str">
        <x:v>Unidad</x:v>
      </x:c>
      <x:c r="P150" s="99" t="n">
        <x:v>6.73</x:v>
      </x:c>
      <x:c r="Q150" s="114" t="n">
        <x:v>0.45</x:v>
      </x:c>
      <x:c r="R150" s="99" t="n">
        <x:v>7.4</x:v>
      </x:c>
      <x:c r="S150" s="99" t="n">
        <x:f>IFERROR(R150/L150,P150*(1-Q150))</x:f>
        <x:v>3.7</x:v>
      </x:c>
      <x:c r="T150" s="114" t="n">
        <x:v>0.07</x:v>
      </x:c>
      <x:c r="U150" s="99" t="n">
        <x:f>S150*(1+T150)</x:f>
        <x:v>3.9590000000000005</x:v>
      </x:c>
      <x:c r="V150" s="99" t="n">
        <x:f>S150</x:f>
        <x:v>3.7</x:v>
      </x:c>
      <x:c r="W150" s="99" t="n">
        <x:f>V150-S150</x:f>
        <x:v>0</x:v>
      </x:c>
      <x:c r="X150" s="114" t="n">
        <x:f>IFERROR(W150/V150,0)</x:f>
        <x:v>0</x:v>
      </x:c>
      <x:c r="Y150" s="38" t="str">
        <x:v>Por unidad</x:v>
      </x:c>
      <x:c r="Z150" s="38" t="str">
        <x:f>IF(Y150="Botella / 3 instalaciones","Precio botella / 3",IF(Y150="Por rollo o metros proporcionales","Si se pasa rollo: rollo completo. Si se pasan metros: proporcional",Y150))</x:f>
        <x:v>Por unidad</x:v>
      </x:c>
      <x:c r="AA150" s="38" t="n">
        <x:v>1</x:v>
      </x:c>
      <x:c r="AB150" s="38" t="str"/>
      <x:c r="AC150" s="38" t="str"/>
      <x:c r="AD150" s="116" t="str">
        <x:v>2026-06-30</x:v>
      </x:c>
      <x:c r="AE150" s="38" t="str">
        <x:v>Sí</x:v>
      </x:c>
      <x:c r="AF150" s="38" t="str">
        <x:v>Revisar categoría antes de usar en cálculo automático.</x:v>
      </x:c>
    </x:row>
    <x:row r="151">
      <x:c r="A151" s="38" t="str">
        <x:v>MAT-0150</x:v>
      </x:c>
      <x:c r="B151" s="38" t="str">
        <x:v>Sí</x:v>
      </x:c>
      <x:c r="C151" s="38" t="str">
        <x:v>Soportes y fijaciones</x:v>
      </x:c>
      <x:c r="D151" s="38" t="str">
        <x:v>Soportes/amortiguadores</x:v>
      </x:c>
      <x:c r="E151" s="38" t="str">
        <x:v>Juego Soporte Instalpack S-40 Amortiguador Suelo</x:v>
      </x:c>
      <x:c r="F151" s="38" t="str">
        <x:v>JUEGO SOPORTE INSTALPACK S-40 AMORTIGUADOR SUELO</x:v>
      </x:c>
      <x:c r="G151" s="38" t="str">
        <x:v>649017</x:v>
      </x:c>
      <x:c r="H151" s="38" t="str">
        <x:v>Comercial Santana Alemán y González, S.L. (Grupo SAG)</x:v>
      </x:c>
      <x:c r="I151" s="38" t="str">
        <x:v>Albarán NT/24002146</x:v>
      </x:c>
      <x:c r="J151" s="115" t="str">
        <x:v>26/07/2024</x:v>
      </x:c>
      <x:c r="K151" s="38" t="str">
        <x:v>TIENDA (EL CHORRILLO)</x:v>
      </x:c>
      <x:c r="L151" s="38" t="n">
        <x:v>1</x:v>
      </x:c>
      <x:c r="M151" s="38" t="str">
        <x:v>Unidad</x:v>
      </x:c>
      <x:c r="N151" s="38" t="n">
        <x:v>1</x:v>
      </x:c>
      <x:c r="O151" s="38" t="str">
        <x:v>Unidad</x:v>
      </x:c>
      <x:c r="P151" s="99" t="n">
        <x:v>3.9</x:v>
      </x:c>
      <x:c r="Q151" s="114" t="n">
        <x:v>0.4</x:v>
      </x:c>
      <x:c r="R151" s="99" t="n">
        <x:v>2.34</x:v>
      </x:c>
      <x:c r="S151" s="99" t="n">
        <x:f>IFERROR(R151/L151,P151*(1-Q151))</x:f>
        <x:v>2.34</x:v>
      </x:c>
      <x:c r="T151" s="114" t="n">
        <x:v>0.07</x:v>
      </x:c>
      <x:c r="U151" s="99" t="n">
        <x:f>S151*(1+T151)</x:f>
        <x:v>2.5038</x:v>
      </x:c>
      <x:c r="V151" s="99" t="n">
        <x:f>S151</x:f>
        <x:v>2.34</x:v>
      </x:c>
      <x:c r="W151" s="99" t="n">
        <x:f>V151-S151</x:f>
        <x:v>0</x:v>
      </x:c>
      <x:c r="X151" s="114" t="n">
        <x:f>IFERROR(W151/V151,0)</x:f>
        <x:v>0</x:v>
      </x:c>
      <x:c r="Y151" s="38" t="str">
        <x:v>Por unidad</x:v>
      </x:c>
      <x:c r="Z151" s="38" t="str">
        <x:f>IF(Y151="Botella / 3 instalaciones","Precio botella / 3",IF(Y151="Por rollo o metros proporcionales","Si se pasa rollo: rollo completo. Si se pasan metros: proporcional",Y151))</x:f>
        <x:v>Por unidad</x:v>
      </x:c>
      <x:c r="AA151" s="38" t="n">
        <x:v>1</x:v>
      </x:c>
      <x:c r="AB151" s="38" t="str">
        <x:v>Sánchez Arencibia, S.A.</x:v>
      </x:c>
      <x:c r="AC151" s="38" t="str">
        <x:v>Media-Baja</x:v>
      </x:c>
      <x:c r="AD151" s="116" t="str">
        <x:v>2026-06-30</x:v>
      </x:c>
      <x:c r="AE151" s="38" t="str">
        <x:v>No</x:v>
      </x:c>
      <x:c r="AF151" s="38" t="str">
        <x:v>Comparativa orientativa: revisar ficha/medida antes de decidir proveedor.</x:v>
      </x:c>
    </x:row>
    <x:row r="152">
      <x:c r="A152" s="38" t="str">
        <x:v>MAT-0151</x:v>
      </x:c>
      <x:c r="B152" s="38" t="str">
        <x:v>Sí</x:v>
      </x:c>
      <x:c r="C152" s="38" t="str">
        <x:v>Sin clasificar</x:v>
      </x:c>
      <x:c r="D152" s="38" t="str"/>
      <x:c r="E152" s="38" t="str">
        <x:v>Abraz. Rm8+M10-250</x:v>
      </x:c>
      <x:c r="F152" s="38" t="str">
        <x:v>ABRAZ. RM8+M10-250</x:v>
      </x:c>
      <x:c r="G152" s="38" t="str">
        <x:v>15580250</x:v>
      </x:c>
      <x:c r="H152" s="38" t="str">
        <x:v>Comercial Santana Alemán y González, S.L. (Grupo SAG)</x:v>
      </x:c>
      <x:c r="I152" s="38" t="str">
        <x:v>Albarán NT/24002146</x:v>
      </x:c>
      <x:c r="J152" s="115" t="str">
        <x:v>26/07/2024</x:v>
      </x:c>
      <x:c r="K152" s="38" t="str">
        <x:v>TIENDA (EL CHORRILLO)</x:v>
      </x:c>
      <x:c r="L152" s="38" t="n">
        <x:v>-3</x:v>
      </x:c>
      <x:c r="M152" s="38" t="str">
        <x:v>Unidad</x:v>
      </x:c>
      <x:c r="N152" s="38" t="n">
        <x:v>1</x:v>
      </x:c>
      <x:c r="O152" s="38" t="str">
        <x:v>Unidad</x:v>
      </x:c>
      <x:c r="P152" s="99" t="n">
        <x:v>3.36</x:v>
      </x:c>
      <x:c r="Q152" s="114" t="n">
        <x:v>0.4</x:v>
      </x:c>
      <x:c r="R152" s="99" t="n">
        <x:v>-6.05</x:v>
      </x:c>
      <x:c r="S152" s="99" t="n">
        <x:f>IFERROR(R152/L152,P152*(1-Q152))</x:f>
        <x:v>2.0166666666666666</x:v>
      </x:c>
      <x:c r="T152" s="114" t="n">
        <x:v>0.07</x:v>
      </x:c>
      <x:c r="U152" s="99" t="n">
        <x:f>S152*(1+T152)</x:f>
        <x:v>2.1578333333333335</x:v>
      </x:c>
      <x:c r="V152" s="99" t="n">
        <x:f>S152</x:f>
        <x:v>2.0166666666666666</x:v>
      </x:c>
      <x:c r="W152" s="99" t="n">
        <x:f>V152-S152</x:f>
        <x:v>0</x:v>
      </x:c>
      <x:c r="X152" s="114" t="n">
        <x:f>IFERROR(W152/V152,0)</x:f>
        <x:v>0</x:v>
      </x:c>
      <x:c r="Y152" s="38" t="str">
        <x:v>Por unidad</x:v>
      </x:c>
      <x:c r="Z152" s="38" t="str">
        <x:f>IF(Y152="Botella / 3 instalaciones","Precio botella / 3",IF(Y152="Por rollo o metros proporcionales","Si se pasa rollo: rollo completo. Si se pasan metros: proporcional",Y152))</x:f>
        <x:v>Por unidad</x:v>
      </x:c>
      <x:c r="AA152" s="38" t="n">
        <x:v>1</x:v>
      </x:c>
      <x:c r="AB152" s="38" t="str"/>
      <x:c r="AC152" s="38" t="str"/>
      <x:c r="AD152" s="116" t="str">
        <x:v>2026-06-30</x:v>
      </x:c>
      <x:c r="AE152" s="38" t="str">
        <x:v>Sí</x:v>
      </x:c>
      <x:c r="AF152" s="38" t="str">
        <x:v>Revisar categoría antes de usar en cálculo automático.</x:v>
      </x:c>
    </x:row>
    <x:row r="153">
      <x:c r="A153" s="38" t="str">
        <x:v>MAT-0152</x:v>
      </x:c>
      <x:c r="B153" s="38" t="str">
        <x:v>Sí</x:v>
      </x:c>
      <x:c r="C153" s="38" t="str">
        <x:v>Sin clasificar</x:v>
      </x:c>
      <x:c r="D153" s="38" t="str"/>
      <x:c r="E153" s="38" t="str">
        <x:v>M2 Panel Aluminio 35 S 60/60 20Mm Espesor De 3000*1200*20 (3.60 M2)</x:v>
      </x:c>
      <x:c r="F153" s="38" t="str">
        <x:v>M2 PANEL ALUMINIO 35 S 60/60 20MM ESPESOR DE 3000*1200*20 (3.60 M2)</x:v>
      </x:c>
      <x:c r="G153" s="38" t="str">
        <x:v>76109090</x:v>
      </x:c>
      <x:c r="H153" s="38" t="str">
        <x:v>Comercial Santana Alemán y González, S.L. (Grupo SAG)</x:v>
      </x:c>
      <x:c r="I153" s="38" t="str">
        <x:v>Factura FM/5127</x:v>
      </x:c>
      <x:c r="J153" s="115" t="str">
        <x:v>30/06/2025</x:v>
      </x:c>
      <x:c r="K153" s="38" t="str">
        <x:v>Albarán NT/25.001.433</x:v>
      </x:c>
      <x:c r="L153" s="38" t="n">
        <x:v>3.6</x:v>
      </x:c>
      <x:c r="M153" s="38" t="str">
        <x:v>m²</x:v>
      </x:c>
      <x:c r="N153" s="38" t="n">
        <x:v>1</x:v>
      </x:c>
      <x:c r="O153" s="38" t="str">
        <x:v>m²</x:v>
      </x:c>
      <x:c r="P153" s="99" t="n">
        <x:v>19</x:v>
      </x:c>
      <x:c r="Q153" s="114" t="n">
        <x:v>0.4</x:v>
      </x:c>
      <x:c r="R153" s="99" t="n">
        <x:v>41.04</x:v>
      </x:c>
      <x:c r="S153" s="99" t="n">
        <x:f>IFERROR(R153/L153,P153*(1-Q153))</x:f>
        <x:v>11.4</x:v>
      </x:c>
      <x:c r="T153" s="114" t="n">
        <x:v>0.07</x:v>
      </x:c>
      <x:c r="U153" s="99" t="n">
        <x:f>S153*(1+T153)</x:f>
        <x:v>12.198</x:v>
      </x:c>
      <x:c r="V153" s="99" t="n">
        <x:f>S153</x:f>
        <x:v>11.4</x:v>
      </x:c>
      <x:c r="W153" s="99" t="n">
        <x:f>V153-S153</x:f>
        <x:v>0</x:v>
      </x:c>
      <x:c r="X153" s="114" t="n">
        <x:f>IFERROR(W153/V153,0)</x:f>
        <x:v>0</x:v>
      </x:c>
      <x:c r="Y153" s="38" t="str">
        <x:v>Por unidad</x:v>
      </x:c>
      <x:c r="Z153" s="38" t="str">
        <x:f>IF(Y153="Botella / 3 instalaciones","Precio botella / 3",IF(Y153="Por rollo o metros proporcionales","Si se pasa rollo: rollo completo. Si se pasan metros: proporcional",Y153))</x:f>
        <x:v>Por unidad</x:v>
      </x:c>
      <x:c r="AA153" s="38" t="n">
        <x:v>1</x:v>
      </x:c>
      <x:c r="AB153" s="38" t="str"/>
      <x:c r="AC153" s="38" t="str"/>
      <x:c r="AD153" s="116" t="str">
        <x:v>2026-06-30</x:v>
      </x:c>
      <x:c r="AE153" s="38" t="str">
        <x:v>Sí</x:v>
      </x:c>
      <x:c r="AF153" s="38" t="str">
        <x:v>Revisar categoría antes de usar en cálculo automático.</x:v>
      </x:c>
    </x:row>
    <x:row r="154">
      <x:c r="A154" s="38" t="str">
        <x:v>MAT-0153</x:v>
      </x:c>
      <x:c r="B154" s="38" t="str">
        <x:v>Sí</x:v>
      </x:c>
      <x:c r="C154" s="38" t="str">
        <x:v>Conductos/Ventilación</x:v>
      </x:c>
      <x:c r="D154" s="38" t="str">
        <x:v>Conducto/accesorio</x:v>
      </x:c>
      <x:c r="E154" s="38" t="str">
        <x:v>Manguito De Cobre Hembra-Hembra 1-1/8"</x:v>
      </x:c>
      <x:c r="F154" s="38" t="str">
        <x:v>MANGUITO DE COBRE HEMBRA-HEMBRA 1-1/8"</x:v>
      </x:c>
      <x:c r="G154" s="38" t="str">
        <x:v>4101104</x:v>
      </x:c>
      <x:c r="H154" s="38" t="str">
        <x:v>Comercial Santana Alemán y González, S.L. (Grupo SAG)</x:v>
      </x:c>
      <x:c r="I154" s="38" t="str">
        <x:v>Factura FM/5127</x:v>
      </x:c>
      <x:c r="J154" s="115" t="str">
        <x:v>30/06/2025</x:v>
      </x:c>
      <x:c r="K154" s="38" t="str">
        <x:v>Albarán NT/25.001.433</x:v>
      </x:c>
      <x:c r="L154" s="38" t="n">
        <x:v>2</x:v>
      </x:c>
      <x:c r="M154" s="38" t="str">
        <x:v>Unidad</x:v>
      </x:c>
      <x:c r="N154" s="38" t="n">
        <x:v>1</x:v>
      </x:c>
      <x:c r="O154" s="38" t="str">
        <x:v>Unidad</x:v>
      </x:c>
      <x:c r="P154" s="99" t="n">
        <x:v>6.61</x:v>
      </x:c>
      <x:c r="Q154" s="114" t="n">
        <x:v>0.4</x:v>
      </x:c>
      <x:c r="R154" s="99" t="n">
        <x:v>7.93</x:v>
      </x:c>
      <x:c r="S154" s="99" t="n">
        <x:f>IFERROR(R154/L154,P154*(1-Q154))</x:f>
        <x:v>3.965</x:v>
      </x:c>
      <x:c r="T154" s="114" t="n">
        <x:v>0.07</x:v>
      </x:c>
      <x:c r="U154" s="99" t="n">
        <x:f>S154*(1+T154)</x:f>
        <x:v>4.2425500000000005</x:v>
      </x:c>
      <x:c r="V154" s="99" t="n">
        <x:f>S154</x:f>
        <x:v>3.965</x:v>
      </x:c>
      <x:c r="W154" s="99" t="n">
        <x:f>V154-S154</x:f>
        <x:v>0</x:v>
      </x:c>
      <x:c r="X154" s="114" t="n">
        <x:f>IFERROR(W154/V154,0)</x:f>
        <x:v>0</x:v>
      </x:c>
      <x:c r="Y154" s="38" t="str">
        <x:v>Por unidad</x:v>
      </x:c>
      <x:c r="Z154" s="38" t="str">
        <x:f>IF(Y154="Botella / 3 instalaciones","Precio botella / 3",IF(Y154="Por rollo o metros proporcionales","Si se pasa rollo: rollo completo. Si se pasan metros: proporcional",Y154))</x:f>
        <x:v>Por unidad</x:v>
      </x:c>
      <x:c r="AA154" s="38" t="n">
        <x:v>1</x:v>
      </x:c>
      <x:c r="AB154" s="38" t="str"/>
      <x:c r="AC154" s="38" t="str"/>
      <x:c r="AD154" s="116" t="str">
        <x:v>2026-06-30</x:v>
      </x:c>
      <x:c r="AE154" s="38" t="str">
        <x:v>No</x:v>
      </x:c>
      <x:c r="AF154" s="38" t="str"/>
    </x:row>
    <x:row r="155">
      <x:c r="A155" s="38" t="str">
        <x:v>MAT-0154</x:v>
      </x:c>
      <x:c r="B155" s="38" t="str">
        <x:v>Sí</x:v>
      </x:c>
      <x:c r="C155" s="38" t="str">
        <x:v>Sin clasificar</x:v>
      </x:c>
      <x:c r="D155" s="38" t="str"/>
      <x:c r="E155" s="38" t="str">
        <x:v>Corona De 100 Mm</x:v>
      </x:c>
      <x:c r="F155" s="38" t="str">
        <x:v>CORONA DE 100 MM</x:v>
      </x:c>
      <x:c r="G155" s="38" t="str">
        <x:v>CG-CRN-0100</x:v>
      </x:c>
      <x:c r="H155" s="38" t="str">
        <x:v>Comercial Santana Alemán y González, S.L. (Grupo SAG)</x:v>
      </x:c>
      <x:c r="I155" s="38" t="str">
        <x:v>Factura FM/5127</x:v>
      </x:c>
      <x:c r="J155" s="115" t="str">
        <x:v>30/06/2025</x:v>
      </x:c>
      <x:c r="K155" s="38" t="str">
        <x:v>Albarán NT/25.001.647</x:v>
      </x:c>
      <x:c r="L155" s="38" t="n">
        <x:v>1</x:v>
      </x:c>
      <x:c r="M155" s="38" t="str">
        <x:v>Unidad</x:v>
      </x:c>
      <x:c r="N155" s="38" t="n">
        <x:v>1</x:v>
      </x:c>
      <x:c r="O155" s="38" t="str">
        <x:v>Unidad</x:v>
      </x:c>
      <x:c r="P155" s="99" t="n">
        <x:v>2.5</x:v>
      </x:c>
      <x:c r="Q155" s="114" t="n">
        <x:v>0.5</x:v>
      </x:c>
      <x:c r="R155" s="99" t="n">
        <x:v>1.25</x:v>
      </x:c>
      <x:c r="S155" s="99" t="n">
        <x:f>IFERROR(R155/L155,P155*(1-Q155))</x:f>
        <x:v>1.25</x:v>
      </x:c>
      <x:c r="T155" s="114" t="n">
        <x:v>0.07</x:v>
      </x:c>
      <x:c r="U155" s="99" t="n">
        <x:f>S155*(1+T155)</x:f>
        <x:v>1.3375000000000001</x:v>
      </x:c>
      <x:c r="V155" s="99" t="n">
        <x:f>S155</x:f>
        <x:v>1.25</x:v>
      </x:c>
      <x:c r="W155" s="99" t="n">
        <x:f>V155-S155</x:f>
        <x:v>0</x:v>
      </x:c>
      <x:c r="X155" s="114" t="n">
        <x:f>IFERROR(W155/V155,0)</x:f>
        <x:v>0</x:v>
      </x:c>
      <x:c r="Y155" s="38" t="str">
        <x:v>Por unidad</x:v>
      </x:c>
      <x:c r="Z155" s="38" t="str">
        <x:f>IF(Y155="Botella / 3 instalaciones","Precio botella / 3",IF(Y155="Por rollo o metros proporcionales","Si se pasa rollo: rollo completo. Si se pasan metros: proporcional",Y155))</x:f>
        <x:v>Por unidad</x:v>
      </x:c>
      <x:c r="AA155" s="38" t="n">
        <x:v>1</x:v>
      </x:c>
      <x:c r="AB155" s="38" t="str"/>
      <x:c r="AC155" s="38" t="str"/>
      <x:c r="AD155" s="116" t="str">
        <x:v>2026-06-30</x:v>
      </x:c>
      <x:c r="AE155" s="38" t="str">
        <x:v>Sí</x:v>
      </x:c>
      <x:c r="AF155" s="38" t="str">
        <x:v>Revisar categoría antes de usar en cálculo automático.</x:v>
      </x:c>
    </x:row>
    <x:row r="156">
      <x:c r="A156" s="38" t="str">
        <x:v>MAT-0155</x:v>
      </x:c>
      <x:c r="B156" s="38" t="str">
        <x:v>Sí</x:v>
      </x:c>
      <x:c r="C156" s="38" t="str">
        <x:v>Sin clasificar</x:v>
      </x:c>
      <x:c r="D156" s="38" t="str"/>
      <x:c r="E156" s="38" t="str">
        <x:v>Ml Tubo Helicoidal Galva Marca Sag De 100 Mm (3 Metros)</x:v>
      </x:c>
      <x:c r="F156" s="38" t="str">
        <x:v>ML TUBO HELICOIDAL GALVA MARCA SAG DE 100 MM (3 METROS)</x:v>
      </x:c>
      <x:c r="G156" s="38" t="str">
        <x:v>CG-THG-0100</x:v>
      </x:c>
      <x:c r="H156" s="38" t="str">
        <x:v>Comercial Santana Alemán y González, S.L. (Grupo SAG)</x:v>
      </x:c>
      <x:c r="I156" s="38" t="str">
        <x:v>Factura FM/5127</x:v>
      </x:c>
      <x:c r="J156" s="115" t="str">
        <x:v>30/06/2025</x:v>
      </x:c>
      <x:c r="K156" s="38" t="str">
        <x:v>Albarán NT/25.001.647</x:v>
      </x:c>
      <x:c r="L156" s="38" t="n">
        <x:v>3</x:v>
      </x:c>
      <x:c r="M156" s="38" t="str">
        <x:v>Unidad</x:v>
      </x:c>
      <x:c r="N156" s="38" t="n">
        <x:v>1</x:v>
      </x:c>
      <x:c r="O156" s="38" t="str">
        <x:v>Unidad</x:v>
      </x:c>
      <x:c r="P156" s="99" t="n">
        <x:v>8.9</x:v>
      </x:c>
      <x:c r="Q156" s="114" t="n">
        <x:v>0.5</x:v>
      </x:c>
      <x:c r="R156" s="99" t="n">
        <x:v>13.35</x:v>
      </x:c>
      <x:c r="S156" s="99" t="n">
        <x:f>IFERROR(R156/L156,P156*(1-Q156))</x:f>
        <x:v>4.45</x:v>
      </x:c>
      <x:c r="T156" s="114" t="n">
        <x:v>0.07</x:v>
      </x:c>
      <x:c r="U156" s="99" t="n">
        <x:f>S156*(1+T156)</x:f>
        <x:v>4.761500000000001</x:v>
      </x:c>
      <x:c r="V156" s="99" t="n">
        <x:f>S156</x:f>
        <x:v>4.45</x:v>
      </x:c>
      <x:c r="W156" s="99" t="n">
        <x:f>V156-S156</x:f>
        <x:v>0</x:v>
      </x:c>
      <x:c r="X156" s="114" t="n">
        <x:f>IFERROR(W156/V156,0)</x:f>
        <x:v>0</x:v>
      </x:c>
      <x:c r="Y156" s="38" t="str">
        <x:v>Por unidad</x:v>
      </x:c>
      <x:c r="Z156" s="38" t="str">
        <x:f>IF(Y156="Botella / 3 instalaciones","Precio botella / 3",IF(Y156="Por rollo o metros proporcionales","Si se pasa rollo: rollo completo. Si se pasan metros: proporcional",Y156))</x:f>
        <x:v>Por unidad</x:v>
      </x:c>
      <x:c r="AA156" s="38" t="n">
        <x:v>1</x:v>
      </x:c>
      <x:c r="AB156" s="38" t="str"/>
      <x:c r="AC156" s="38" t="str"/>
      <x:c r="AD156" s="116" t="str">
        <x:v>2026-06-30</x:v>
      </x:c>
      <x:c r="AE156" s="38" t="str">
        <x:v>Sí</x:v>
      </x:c>
      <x:c r="AF156" s="38" t="str">
        <x:v>Revisar categoría antes de usar en cálculo automático.</x:v>
      </x:c>
    </x:row>
    <x:row r="157">
      <x:c r="A157" s="38" t="str">
        <x:v>MAT-0156</x:v>
      </x:c>
      <x:c r="B157" s="38" t="str">
        <x:v>Sí</x:v>
      </x:c>
      <x:c r="C157" s="38" t="str">
        <x:v>Sin clasificar</x:v>
      </x:c>
      <x:c r="D157" s="38" t="str"/>
      <x:c r="E157" s="38" t="str">
        <x:v>Ml Tubo Helicoidal Galva Marca Sag De 100 Mm (3 Metros)</x:v>
      </x:c>
      <x:c r="F157" s="38" t="str">
        <x:v>ML TUBO HELICOIDAL GALVA MARCA SAG DE 100 MM (3 METROS)</x:v>
      </x:c>
      <x:c r="G157" s="38" t="str">
        <x:v>CG-THG-0100</x:v>
      </x:c>
      <x:c r="H157" s="38" t="str">
        <x:v>Comercial Santana Alemán y González, S.L. (Grupo SAG)</x:v>
      </x:c>
      <x:c r="I157" s="38" t="str">
        <x:v>Factura FM/5127</x:v>
      </x:c>
      <x:c r="J157" s="115" t="str">
        <x:v>30/06/2025</x:v>
      </x:c>
      <x:c r="K157" s="38" t="str">
        <x:v>Albarán NT/25.001.666</x:v>
      </x:c>
      <x:c r="L157" s="38" t="n">
        <x:v>3</x:v>
      </x:c>
      <x:c r="M157" s="38" t="str">
        <x:v>Unidad</x:v>
      </x:c>
      <x:c r="N157" s="38" t="n">
        <x:v>1</x:v>
      </x:c>
      <x:c r="O157" s="38" t="str">
        <x:v>Unidad</x:v>
      </x:c>
      <x:c r="P157" s="99" t="n">
        <x:v>8.9</x:v>
      </x:c>
      <x:c r="Q157" s="114" t="n">
        <x:v>0.5</x:v>
      </x:c>
      <x:c r="R157" s="99" t="n">
        <x:v>13.35</x:v>
      </x:c>
      <x:c r="S157" s="99" t="n">
        <x:f>IFERROR(R157/L157,P157*(1-Q157))</x:f>
        <x:v>4.45</x:v>
      </x:c>
      <x:c r="T157" s="114" t="n">
        <x:v>0.07</x:v>
      </x:c>
      <x:c r="U157" s="99" t="n">
        <x:f>S157*(1+T157)</x:f>
        <x:v>4.761500000000001</x:v>
      </x:c>
      <x:c r="V157" s="99" t="n">
        <x:f>S157</x:f>
        <x:v>4.45</x:v>
      </x:c>
      <x:c r="W157" s="99" t="n">
        <x:f>V157-S157</x:f>
        <x:v>0</x:v>
      </x:c>
      <x:c r="X157" s="114" t="n">
        <x:f>IFERROR(W157/V157,0)</x:f>
        <x:v>0</x:v>
      </x:c>
      <x:c r="Y157" s="38" t="str">
        <x:v>Por unidad</x:v>
      </x:c>
      <x:c r="Z157" s="38" t="str">
        <x:f>IF(Y157="Botella / 3 instalaciones","Precio botella / 3",IF(Y157="Por rollo o metros proporcionales","Si se pasa rollo: rollo completo. Si se pasan metros: proporcional",Y157))</x:f>
        <x:v>Por unidad</x:v>
      </x:c>
      <x:c r="AA157" s="38" t="n">
        <x:v>1</x:v>
      </x:c>
      <x:c r="AB157" s="38" t="str"/>
      <x:c r="AC157" s="38" t="str"/>
      <x:c r="AD157" s="116" t="str">
        <x:v>2026-06-30</x:v>
      </x:c>
      <x:c r="AE157" s="38" t="str">
        <x:v>Sí</x:v>
      </x:c>
      <x:c r="AF157" s="38" t="str">
        <x:v>Revisar categoría antes de usar en cálculo automático.</x:v>
      </x:c>
    </x:row>
    <x:row r="158">
      <x:c r="A158" s="38" t="str">
        <x:v>MAT-0157</x:v>
      </x:c>
      <x:c r="B158" s="38" t="str">
        <x:v>Sí</x:v>
      </x:c>
      <x:c r="C158" s="38" t="str">
        <x:v>Conductos/Ventilación</x:v>
      </x:c>
      <x:c r="D158" s="38" t="str">
        <x:v>Conducto/accesorio</x:v>
      </x:c>
      <x:c r="E158" s="38" t="str">
        <x:v>Manguito Galvanizado De 100 Mm</x:v>
      </x:c>
      <x:c r="F158" s="38" t="str">
        <x:v>MANGUITO GALVANIZADO DE 100 MM</x:v>
      </x:c>
      <x:c r="G158" s="38" t="str">
        <x:v>CG-MAN-100</x:v>
      </x:c>
      <x:c r="H158" s="38" t="str">
        <x:v>Comercial Santana Alemán y González, S.L. (Grupo SAG)</x:v>
      </x:c>
      <x:c r="I158" s="38" t="str">
        <x:v>Factura FM/5127</x:v>
      </x:c>
      <x:c r="J158" s="115" t="str">
        <x:v>30/06/2025</x:v>
      </x:c>
      <x:c r="K158" s="38" t="str">
        <x:v>Albarán NT/25.001.666</x:v>
      </x:c>
      <x:c r="L158" s="38" t="n">
        <x:v>1</x:v>
      </x:c>
      <x:c r="M158" s="38" t="str">
        <x:v>Unidad</x:v>
      </x:c>
      <x:c r="N158" s="38" t="n">
        <x:v>1</x:v>
      </x:c>
      <x:c r="O158" s="38" t="str">
        <x:v>Unidad</x:v>
      </x:c>
      <x:c r="P158" s="99" t="n">
        <x:v>3.75</x:v>
      </x:c>
      <x:c r="Q158" s="114" t="n">
        <x:v>0.5</x:v>
      </x:c>
      <x:c r="R158" s="99" t="n">
        <x:v>1.88</x:v>
      </x:c>
      <x:c r="S158" s="99" t="n">
        <x:f>IFERROR(R158/L158,P158*(1-Q158))</x:f>
        <x:v>1.88</x:v>
      </x:c>
      <x:c r="T158" s="114" t="n">
        <x:v>0.07</x:v>
      </x:c>
      <x:c r="U158" s="99" t="n">
        <x:f>S158*(1+T158)</x:f>
        <x:v>2.0116</x:v>
      </x:c>
      <x:c r="V158" s="99" t="n">
        <x:f>S158</x:f>
        <x:v>1.88</x:v>
      </x:c>
      <x:c r="W158" s="99" t="n">
        <x:f>V158-S158</x:f>
        <x:v>0</x:v>
      </x:c>
      <x:c r="X158" s="114" t="n">
        <x:f>IFERROR(W158/V158,0)</x:f>
        <x:v>0</x:v>
      </x:c>
      <x:c r="Y158" s="38" t="str">
        <x:v>Por unidad</x:v>
      </x:c>
      <x:c r="Z158" s="38" t="str">
        <x:f>IF(Y158="Botella / 3 instalaciones","Precio botella / 3",IF(Y158="Por rollo o metros proporcionales","Si se pasa rollo: rollo completo. Si se pasan metros: proporcional",Y158))</x:f>
        <x:v>Por unidad</x:v>
      </x:c>
      <x:c r="AA158" s="38" t="n">
        <x:v>1</x:v>
      </x:c>
      <x:c r="AB158" s="38" t="str"/>
      <x:c r="AC158" s="38" t="str"/>
      <x:c r="AD158" s="116" t="str">
        <x:v>2026-06-30</x:v>
      </x:c>
      <x:c r="AE158" s="38" t="str">
        <x:v>No</x:v>
      </x:c>
      <x:c r="AF158" s="38" t="str"/>
    </x:row>
    <x:row r="159">
      <x:c r="A159" s="38" t="str">
        <x:v>MAT-0158</x:v>
      </x:c>
      <x:c r="B159" s="38" t="str">
        <x:v>Sí</x:v>
      </x:c>
      <x:c r="C159" s="38" t="str">
        <x:v>Sin clasificar</x:v>
      </x:c>
      <x:c r="D159" s="38" t="str"/>
      <x:c r="E159" s="38" t="str">
        <x:v>Te Galvanizada 90º 100 Mm</x:v>
      </x:c>
      <x:c r="F159" s="38" t="str">
        <x:v>TE GALVANIZADA 90º 100 MM</x:v>
      </x:c>
      <x:c r="G159" s="38" t="str">
        <x:v>CG-TE90-100</x:v>
      </x:c>
      <x:c r="H159" s="38" t="str">
        <x:v>Comercial Santana Alemán y González, S.L. (Grupo SAG)</x:v>
      </x:c>
      <x:c r="I159" s="38" t="str">
        <x:v>Factura FM/5127</x:v>
      </x:c>
      <x:c r="J159" s="115" t="str">
        <x:v>30/06/2025</x:v>
      </x:c>
      <x:c r="K159" s="38" t="str">
        <x:v>Albarán NT/25.001.650</x:v>
      </x:c>
      <x:c r="L159" s="38" t="n">
        <x:v>1</x:v>
      </x:c>
      <x:c r="M159" s="38" t="str">
        <x:v>Unidad</x:v>
      </x:c>
      <x:c r="N159" s="38" t="n">
        <x:v>1</x:v>
      </x:c>
      <x:c r="O159" s="38" t="str">
        <x:v>Unidad</x:v>
      </x:c>
      <x:c r="P159" s="99" t="n">
        <x:v>16.32</x:v>
      </x:c>
      <x:c r="Q159" s="114" t="n">
        <x:v>0.5</x:v>
      </x:c>
      <x:c r="R159" s="99" t="n">
        <x:v>8.16</x:v>
      </x:c>
      <x:c r="S159" s="99" t="n">
        <x:f>IFERROR(R159/L159,P159*(1-Q159))</x:f>
        <x:v>8.16</x:v>
      </x:c>
      <x:c r="T159" s="114" t="n">
        <x:v>0.07</x:v>
      </x:c>
      <x:c r="U159" s="99" t="n">
        <x:f>S159*(1+T159)</x:f>
        <x:v>8.731200000000001</x:v>
      </x:c>
      <x:c r="V159" s="99" t="n">
        <x:f>S159</x:f>
        <x:v>8.16</x:v>
      </x:c>
      <x:c r="W159" s="99" t="n">
        <x:f>V159-S159</x:f>
        <x:v>0</x:v>
      </x:c>
      <x:c r="X159" s="114" t="n">
        <x:f>IFERROR(W159/V159,0)</x:f>
        <x:v>0</x:v>
      </x:c>
      <x:c r="Y159" s="38" t="str">
        <x:v>Por unidad</x:v>
      </x:c>
      <x:c r="Z159" s="38" t="str">
        <x:f>IF(Y159="Botella / 3 instalaciones","Precio botella / 3",IF(Y159="Por rollo o metros proporcionales","Si se pasa rollo: rollo completo. Si se pasan metros: proporcional",Y159))</x:f>
        <x:v>Por unidad</x:v>
      </x:c>
      <x:c r="AA159" s="38" t="n">
        <x:v>1</x:v>
      </x:c>
      <x:c r="AB159" s="38" t="str"/>
      <x:c r="AC159" s="38" t="str"/>
      <x:c r="AD159" s="116" t="str">
        <x:v>2026-06-30</x:v>
      </x:c>
      <x:c r="AE159" s="38" t="str">
        <x:v>Sí</x:v>
      </x:c>
      <x:c r="AF159" s="38" t="str">
        <x:v>Revisar categoría antes de usar en cálculo automático.</x:v>
      </x:c>
    </x:row>
    <x:row r="160">
      <x:c r="A160" s="38" t="str">
        <x:v>MAT-0159</x:v>
      </x:c>
      <x:c r="B160" s="38" t="str">
        <x:v>Sí</x:v>
      </x:c>
      <x:c r="C160" s="38" t="str">
        <x:v>Conductos/Ventilación</x:v>
      </x:c>
      <x:c r="D160" s="38" t="str">
        <x:v>Conducto/accesorio</x:v>
      </x:c>
      <x:c r="E160" s="38" t="str">
        <x:v>Codo Galvanizado 90º 100 Mm</x:v>
      </x:c>
      <x:c r="F160" s="38" t="str">
        <x:v>CODO GALVANIZADO 90º 100 MM</x:v>
      </x:c>
      <x:c r="G160" s="38" t="str">
        <x:v>CG-COD90-100</x:v>
      </x:c>
      <x:c r="H160" s="38" t="str">
        <x:v>Comercial Santana Alemán y González, S.L. (Grupo SAG)</x:v>
      </x:c>
      <x:c r="I160" s="38" t="str">
        <x:v>Factura FM/5127</x:v>
      </x:c>
      <x:c r="J160" s="115" t="str">
        <x:v>30/06/2025</x:v>
      </x:c>
      <x:c r="K160" s="38" t="str">
        <x:v>Albarán NT/25.001.650</x:v>
      </x:c>
      <x:c r="L160" s="38" t="n">
        <x:v>2</x:v>
      </x:c>
      <x:c r="M160" s="38" t="str">
        <x:v>Unidad</x:v>
      </x:c>
      <x:c r="N160" s="38" t="n">
        <x:v>1</x:v>
      </x:c>
      <x:c r="O160" s="38" t="str">
        <x:v>Unidad</x:v>
      </x:c>
      <x:c r="P160" s="99" t="n">
        <x:v>9.2</x:v>
      </x:c>
      <x:c r="Q160" s="114" t="n">
        <x:v>0.5</x:v>
      </x:c>
      <x:c r="R160" s="99" t="n">
        <x:v>9.2</x:v>
      </x:c>
      <x:c r="S160" s="99" t="n">
        <x:f>IFERROR(R160/L160,P160*(1-Q160))</x:f>
        <x:v>4.6</x:v>
      </x:c>
      <x:c r="T160" s="114" t="n">
        <x:v>0.07</x:v>
      </x:c>
      <x:c r="U160" s="99" t="n">
        <x:f>S160*(1+T160)</x:f>
        <x:v>4.922</x:v>
      </x:c>
      <x:c r="V160" s="99" t="n">
        <x:f>S160</x:f>
        <x:v>4.6</x:v>
      </x:c>
      <x:c r="W160" s="99" t="n">
        <x:f>V160-S160</x:f>
        <x:v>0</x:v>
      </x:c>
      <x:c r="X160" s="114" t="n">
        <x:f>IFERROR(W160/V160,0)</x:f>
        <x:v>0</x:v>
      </x:c>
      <x:c r="Y160" s="38" t="str">
        <x:v>Por unidad</x:v>
      </x:c>
      <x:c r="Z160" s="38" t="str">
        <x:f>IF(Y160="Botella / 3 instalaciones","Precio botella / 3",IF(Y160="Por rollo o metros proporcionales","Si se pasa rollo: rollo completo. Si se pasan metros: proporcional",Y160))</x:f>
        <x:v>Por unidad</x:v>
      </x:c>
      <x:c r="AA160" s="38" t="n">
        <x:v>1</x:v>
      </x:c>
      <x:c r="AB160" s="38" t="str"/>
      <x:c r="AC160" s="38" t="str"/>
      <x:c r="AD160" s="116" t="str">
        <x:v>2026-06-30</x:v>
      </x:c>
      <x:c r="AE160" s="38" t="str">
        <x:v>No</x:v>
      </x:c>
      <x:c r="AF160" s="38" t="str"/>
    </x:row>
    <x:row r="161">
      <x:c r="A161" s="38" t="str">
        <x:v>MAT-0160</x:v>
      </x:c>
      <x:c r="B161" s="38" t="str">
        <x:v>Sí</x:v>
      </x:c>
      <x:c r="C161" s="38" t="str">
        <x:v>Sin clasificar</x:v>
      </x:c>
      <x:c r="D161" s="38" t="str"/>
      <x:c r="E161" s="38" t="str">
        <x:v>Abraz. Rm8+M10-100 (3 1/2")</x:v>
      </x:c>
      <x:c r="F161" s="38" t="str">
        <x:v>ABRAZ. RM8+M10-100 (3 1/2")</x:v>
      </x:c>
      <x:c r="G161" s="38" t="str">
        <x:v>15580100</x:v>
      </x:c>
      <x:c r="H161" s="38" t="str">
        <x:v>Comercial Santana Alemán y González, S.L. (Grupo SAG)</x:v>
      </x:c>
      <x:c r="I161" s="38" t="str">
        <x:v>Factura FM/5127</x:v>
      </x:c>
      <x:c r="J161" s="115" t="str">
        <x:v>30/06/2025</x:v>
      </x:c>
      <x:c r="K161" s="38" t="str">
        <x:v>Albarán NT/25.001.650</x:v>
      </x:c>
      <x:c r="L161" s="38" t="n">
        <x:v>5</x:v>
      </x:c>
      <x:c r="M161" s="38" t="str">
        <x:v>Unidad</x:v>
      </x:c>
      <x:c r="N161" s="38" t="n">
        <x:v>1</x:v>
      </x:c>
      <x:c r="O161" s="38" t="str">
        <x:v>Unidad</x:v>
      </x:c>
      <x:c r="P161" s="99" t="n">
        <x:v>1.46</x:v>
      </x:c>
      <x:c r="Q161" s="114" t="n">
        <x:v>0.45</x:v>
      </x:c>
      <x:c r="R161" s="99" t="n">
        <x:v>4.02</x:v>
      </x:c>
      <x:c r="S161" s="99" t="n">
        <x:f>IFERROR(R161/L161,P161*(1-Q161))</x:f>
        <x:v>0.8039999999999999</x:v>
      </x:c>
      <x:c r="T161" s="114" t="n">
        <x:v>0.07</x:v>
      </x:c>
      <x:c r="U161" s="99" t="n">
        <x:f>S161*(1+T161)</x:f>
        <x:v>0.8602799999999999</x:v>
      </x:c>
      <x:c r="V161" s="99" t="n">
        <x:f>S161</x:f>
        <x:v>0.8039999999999999</x:v>
      </x:c>
      <x:c r="W161" s="99" t="n">
        <x:f>V161-S161</x:f>
        <x:v>0</x:v>
      </x:c>
      <x:c r="X161" s="114" t="n">
        <x:f>IFERROR(W161/V161,0)</x:f>
        <x:v>0</x:v>
      </x:c>
      <x:c r="Y161" s="38" t="str">
        <x:v>Por unidad</x:v>
      </x:c>
      <x:c r="Z161" s="38" t="str">
        <x:f>IF(Y161="Botella / 3 instalaciones","Precio botella / 3",IF(Y161="Por rollo o metros proporcionales","Si se pasa rollo: rollo completo. Si se pasan metros: proporcional",Y161))</x:f>
        <x:v>Por unidad</x:v>
      </x:c>
      <x:c r="AA161" s="38" t="n">
        <x:v>1</x:v>
      </x:c>
      <x:c r="AB161" s="38" t="str"/>
      <x:c r="AC161" s="38" t="str"/>
      <x:c r="AD161" s="116" t="str">
        <x:v>2026-06-30</x:v>
      </x:c>
      <x:c r="AE161" s="38" t="str">
        <x:v>Sí</x:v>
      </x:c>
      <x:c r="AF161" s="38" t="str">
        <x:v>Revisar categoría antes de usar en cálculo automático.</x:v>
      </x:c>
    </x:row>
    <x:row r="162">
      <x:c r="A162" s="38" t="str">
        <x:v>MAT-0161</x:v>
      </x:c>
      <x:c r="B162" s="38" t="str">
        <x:v>Sí</x:v>
      </x:c>
      <x:c r="C162" s="38" t="str">
        <x:v>Pequeño material</x:v>
      </x:c>
      <x:c r="D162" s="38" t="str">
        <x:v>Consumible</x:v>
      </x:c>
      <x:c r="E162" s="38" t="str">
        <x:v>Taco Plp</x:v>
      </x:c>
      <x:c r="F162" s="38" t="str">
        <x:v>TACO PLP</x:v>
      </x:c>
      <x:c r="G162" s="38" t="str">
        <x:v>12050015</x:v>
      </x:c>
      <x:c r="H162" s="38" t="str">
        <x:v>Comercial Santana Alemán y González, S.L. (Grupo SAG)</x:v>
      </x:c>
      <x:c r="I162" s="38" t="str">
        <x:v>Factura FM/5127</x:v>
      </x:c>
      <x:c r="J162" s="115" t="str">
        <x:v>30/06/2025</x:v>
      </x:c>
      <x:c r="K162" s="38" t="str">
        <x:v>Albarán NT/25.001.650</x:v>
      </x:c>
      <x:c r="L162" s="38" t="n">
        <x:v>100</x:v>
      </x:c>
      <x:c r="M162" s="38" t="str">
        <x:v>Unidad</x:v>
      </x:c>
      <x:c r="N162" s="38" t="n">
        <x:v>1</x:v>
      </x:c>
      <x:c r="O162" s="38" t="str">
        <x:v>Unidad</x:v>
      </x:c>
      <x:c r="P162" s="99" t="n">
        <x:v>0.16</x:v>
      </x:c>
      <x:c r="Q162" s="114" t="n">
        <x:v>0.45</x:v>
      </x:c>
      <x:c r="R162" s="99" t="n">
        <x:v>8.8</x:v>
      </x:c>
      <x:c r="S162" s="99" t="n">
        <x:f>IFERROR(R162/L162,P162*(1-Q162))</x:f>
        <x:v>0.08800000000000001</x:v>
      </x:c>
      <x:c r="T162" s="114" t="n">
        <x:v>0.03</x:v>
      </x:c>
      <x:c r="U162" s="99" t="n">
        <x:f>S162*(1+T162)</x:f>
        <x:v>0.09064000000000001</x:v>
      </x:c>
      <x:c r="V162" s="99" t="n">
        <x:f>S162</x:f>
        <x:v>0.08800000000000001</x:v>
      </x:c>
      <x:c r="W162" s="99" t="n">
        <x:f>V162-S162</x:f>
        <x:v>0</x:v>
      </x:c>
      <x:c r="X162" s="114" t="n">
        <x:f>IFERROR(W162/V162,0)</x:f>
        <x:v>0</x:v>
      </x:c>
      <x:c r="Y162" s="38" t="str">
        <x:v>Por unidad</x:v>
      </x:c>
      <x:c r="Z162" s="38" t="str">
        <x:f>IF(Y162="Botella / 3 instalaciones","Precio botella / 3",IF(Y162="Por rollo o metros proporcionales","Si se pasa rollo: rollo completo. Si se pasan metros: proporcional",Y162))</x:f>
        <x:v>Por unidad</x:v>
      </x:c>
      <x:c r="AA162" s="38" t="n">
        <x:v>1</x:v>
      </x:c>
      <x:c r="AB162" s="38" t="str"/>
      <x:c r="AC162" s="38" t="str"/>
      <x:c r="AD162" s="116" t="str">
        <x:v>2026-06-30</x:v>
      </x:c>
      <x:c r="AE162" s="38" t="str">
        <x:v>No</x:v>
      </x:c>
      <x:c r="AF162" s="38" t="str"/>
    </x:row>
    <x:row r="163">
      <x:c r="A163" s="38" t="str">
        <x:v>MAT-0162</x:v>
      </x:c>
      <x:c r="B163" s="38" t="str">
        <x:v>Sí</x:v>
      </x:c>
      <x:c r="C163" s="38" t="str">
        <x:v>Desagüe</x:v>
      </x:c>
      <x:c r="D163" s="38" t="str">
        <x:v>Tubo/accesorios desagüe</x:v>
      </x:c>
      <x:c r="E163" s="38" t="str">
        <x:v>Pegamento Pvc-15 Flexible 250 Ml</x:v>
      </x:c>
      <x:c r="F163" s="38" t="str">
        <x:v>PEGAMENTO PVC-15 FLEXIBLE 250 ML</x:v>
      </x:c>
      <x:c r="G163" s="38" t="str">
        <x:v>215250TP</x:v>
      </x:c>
      <x:c r="H163" s="38" t="str">
        <x:v>Comercial Santana Alemán y González, S.L. (Grupo SAG)</x:v>
      </x:c>
      <x:c r="I163" s="38" t="str">
        <x:v>Factura FM/5127</x:v>
      </x:c>
      <x:c r="J163" s="115" t="str">
        <x:v>30/06/2025</x:v>
      </x:c>
      <x:c r="K163" s="38" t="str">
        <x:v>Albarán NT/25.001.650</x:v>
      </x:c>
      <x:c r="L163" s="38" t="n">
        <x:v>1</x:v>
      </x:c>
      <x:c r="M163" s="38" t="str">
        <x:v>Unidad</x:v>
      </x:c>
      <x:c r="N163" s="38" t="n">
        <x:v>1</x:v>
      </x:c>
      <x:c r="O163" s="38" t="str">
        <x:v>Unidad</x:v>
      </x:c>
      <x:c r="P163" s="99" t="n">
        <x:v>7.24</x:v>
      </x:c>
      <x:c r="Q163" s="114" t="n">
        <x:v>0.3</x:v>
      </x:c>
      <x:c r="R163" s="99" t="n">
        <x:v>5.07</x:v>
      </x:c>
      <x:c r="S163" s="99" t="n">
        <x:f>IFERROR(R163/L163,P163*(1-Q163))</x:f>
        <x:v>5.07</x:v>
      </x:c>
      <x:c r="T163" s="114" t="n">
        <x:v>0.07</x:v>
      </x:c>
      <x:c r="U163" s="99" t="n">
        <x:f>S163*(1+T163)</x:f>
        <x:v>5.424900000000001</x:v>
      </x:c>
      <x:c r="V163" s="99" t="n">
        <x:f>S163</x:f>
        <x:v>5.07</x:v>
      </x:c>
      <x:c r="W163" s="99" t="n">
        <x:f>V163-S163</x:f>
        <x:v>0</x:v>
      </x:c>
      <x:c r="X163" s="114" t="n">
        <x:f>IFERROR(W163/V163,0)</x:f>
        <x:v>0</x:v>
      </x:c>
      <x:c r="Y163" s="38" t="str">
        <x:v>Por unidad</x:v>
      </x:c>
      <x:c r="Z163" s="38" t="str">
        <x:f>IF(Y163="Botella / 3 instalaciones","Precio botella / 3",IF(Y163="Por rollo o metros proporcionales","Si se pasa rollo: rollo completo. Si se pasan metros: proporcional",Y163))</x:f>
        <x:v>Por unidad</x:v>
      </x:c>
      <x:c r="AA163" s="38" t="n">
        <x:v>1</x:v>
      </x:c>
      <x:c r="AB163" s="38" t="str"/>
      <x:c r="AC163" s="38" t="str"/>
      <x:c r="AD163" s="116" t="str">
        <x:v>2026-06-30</x:v>
      </x:c>
      <x:c r="AE163" s="38" t="str">
        <x:v>No</x:v>
      </x:c>
      <x:c r="AF163" s="38" t="str"/>
    </x:row>
    <x:row r="164">
      <x:c r="A164" s="38" t="str">
        <x:v>MAT-0163</x:v>
      </x:c>
      <x:c r="B164" s="38" t="str">
        <x:v>Sí</x:v>
      </x:c>
      <x:c r="C164" s="38" t="str">
        <x:v>Sin clasificar</x:v>
      </x:c>
      <x:c r="D164" s="38" t="str"/>
      <x:c r="E164" s="38" t="str">
        <x:v>Ml Tubo Helicoidal Galva Marca Sag De 100 Mm (3 Metros)</x:v>
      </x:c>
      <x:c r="F164" s="38" t="str">
        <x:v>ML TUBO HELICOIDAL GALVA MARCA SAG DE 100 MM (3 METROS)</x:v>
      </x:c>
      <x:c r="G164" s="38" t="str">
        <x:v>CG-THG-0100</x:v>
      </x:c>
      <x:c r="H164" s="38" t="str">
        <x:v>Comercial Santana Alemán y González, S.L. (Grupo SAG)</x:v>
      </x:c>
      <x:c r="I164" s="38" t="str">
        <x:v>Factura FM/5127</x:v>
      </x:c>
      <x:c r="J164" s="115" t="str">
        <x:v>30/06/2025</x:v>
      </x:c>
      <x:c r="K164" s="38" t="str">
        <x:v>Albarán NT/25.001.622</x:v>
      </x:c>
      <x:c r="L164" s="38" t="n">
        <x:v>3</x:v>
      </x:c>
      <x:c r="M164" s="38" t="str">
        <x:v>Unidad</x:v>
      </x:c>
      <x:c r="N164" s="38" t="n">
        <x:v>1</x:v>
      </x:c>
      <x:c r="O164" s="38" t="str">
        <x:v>Unidad</x:v>
      </x:c>
      <x:c r="P164" s="99" t="n">
        <x:v>8.9</x:v>
      </x:c>
      <x:c r="Q164" s="114" t="n">
        <x:v>0.5</x:v>
      </x:c>
      <x:c r="R164" s="99" t="n">
        <x:v>13.35</x:v>
      </x:c>
      <x:c r="S164" s="99" t="n">
        <x:f>IFERROR(R164/L164,P164*(1-Q164))</x:f>
        <x:v>4.45</x:v>
      </x:c>
      <x:c r="T164" s="114" t="n">
        <x:v>0.07</x:v>
      </x:c>
      <x:c r="U164" s="99" t="n">
        <x:f>S164*(1+T164)</x:f>
        <x:v>4.761500000000001</x:v>
      </x:c>
      <x:c r="V164" s="99" t="n">
        <x:f>S164</x:f>
        <x:v>4.45</x:v>
      </x:c>
      <x:c r="W164" s="99" t="n">
        <x:f>V164-S164</x:f>
        <x:v>0</x:v>
      </x:c>
      <x:c r="X164" s="114" t="n">
        <x:f>IFERROR(W164/V164,0)</x:f>
        <x:v>0</x:v>
      </x:c>
      <x:c r="Y164" s="38" t="str">
        <x:v>Por unidad</x:v>
      </x:c>
      <x:c r="Z164" s="38" t="str">
        <x:f>IF(Y164="Botella / 3 instalaciones","Precio botella / 3",IF(Y164="Por rollo o metros proporcionales","Si se pasa rollo: rollo completo. Si se pasan metros: proporcional",Y164))</x:f>
        <x:v>Por unidad</x:v>
      </x:c>
      <x:c r="AA164" s="38" t="n">
        <x:v>1</x:v>
      </x:c>
      <x:c r="AB164" s="38" t="str"/>
      <x:c r="AC164" s="38" t="str"/>
      <x:c r="AD164" s="116" t="str">
        <x:v>2026-06-30</x:v>
      </x:c>
      <x:c r="AE164" s="38" t="str">
        <x:v>Sí</x:v>
      </x:c>
      <x:c r="AF164" s="38" t="str">
        <x:v>Revisar categoría antes de usar en cálculo automático.</x:v>
      </x:c>
    </x:row>
    <x:row r="165">
      <x:c r="A165" s="38" t="str">
        <x:v>MAT-0164</x:v>
      </x:c>
      <x:c r="B165" s="38" t="str">
        <x:v>Sí</x:v>
      </x:c>
      <x:c r="C165" s="38" t="str">
        <x:v>Conductos/Ventilación</x:v>
      </x:c>
      <x:c r="D165" s="38" t="str">
        <x:v>Conducto/accesorio</x:v>
      </x:c>
      <x:c r="E165" s="38" t="str">
        <x:v>Codo Galvanizado 90º 100 Mm</x:v>
      </x:c>
      <x:c r="F165" s="38" t="str">
        <x:v>CODO GALVANIZADO 90º 100 MM</x:v>
      </x:c>
      <x:c r="G165" s="38" t="str">
        <x:v>CG-COD90-100</x:v>
      </x:c>
      <x:c r="H165" s="38" t="str">
        <x:v>Comercial Santana Alemán y González, S.L. (Grupo SAG)</x:v>
      </x:c>
      <x:c r="I165" s="38" t="str">
        <x:v>Factura FM/5127</x:v>
      </x:c>
      <x:c r="J165" s="115" t="str">
        <x:v>30/06/2025</x:v>
      </x:c>
      <x:c r="K165" s="38" t="str">
        <x:v>Albarán NT/25.001.622</x:v>
      </x:c>
      <x:c r="L165" s="38" t="n">
        <x:v>2</x:v>
      </x:c>
      <x:c r="M165" s="38" t="str">
        <x:v>Unidad</x:v>
      </x:c>
      <x:c r="N165" s="38" t="n">
        <x:v>1</x:v>
      </x:c>
      <x:c r="O165" s="38" t="str">
        <x:v>Unidad</x:v>
      </x:c>
      <x:c r="P165" s="99" t="n">
        <x:v>9.2</x:v>
      </x:c>
      <x:c r="Q165" s="114" t="n">
        <x:v>0.5</x:v>
      </x:c>
      <x:c r="R165" s="99" t="n">
        <x:v>9.2</x:v>
      </x:c>
      <x:c r="S165" s="99" t="n">
        <x:f>IFERROR(R165/L165,P165*(1-Q165))</x:f>
        <x:v>4.6</x:v>
      </x:c>
      <x:c r="T165" s="114" t="n">
        <x:v>0.07</x:v>
      </x:c>
      <x:c r="U165" s="99" t="n">
        <x:f>S165*(1+T165)</x:f>
        <x:v>4.922</x:v>
      </x:c>
      <x:c r="V165" s="99" t="n">
        <x:f>S165</x:f>
        <x:v>4.6</x:v>
      </x:c>
      <x:c r="W165" s="99" t="n">
        <x:f>V165-S165</x:f>
        <x:v>0</x:v>
      </x:c>
      <x:c r="X165" s="114" t="n">
        <x:f>IFERROR(W165/V165,0)</x:f>
        <x:v>0</x:v>
      </x:c>
      <x:c r="Y165" s="38" t="str">
        <x:v>Por unidad</x:v>
      </x:c>
      <x:c r="Z165" s="38" t="str">
        <x:f>IF(Y165="Botella / 3 instalaciones","Precio botella / 3",IF(Y165="Por rollo o metros proporcionales","Si se pasa rollo: rollo completo. Si se pasan metros: proporcional",Y165))</x:f>
        <x:v>Por unidad</x:v>
      </x:c>
      <x:c r="AA165" s="38" t="n">
        <x:v>1</x:v>
      </x:c>
      <x:c r="AB165" s="38" t="str"/>
      <x:c r="AC165" s="38" t="str"/>
      <x:c r="AD165" s="116" t="str">
        <x:v>2026-06-30</x:v>
      </x:c>
      <x:c r="AE165" s="38" t="str">
        <x:v>No</x:v>
      </x:c>
      <x:c r="AF165" s="38" t="str"/>
    </x:row>
    <x:row r="166">
      <x:c r="A166" s="38" t="str">
        <x:v>MAT-0165</x:v>
      </x:c>
      <x:c r="B166" s="38" t="str">
        <x:v>Sí</x:v>
      </x:c>
      <x:c r="C166" s="38" t="str">
        <x:v>Sin clasificar</x:v>
      </x:c>
      <x:c r="D166" s="38" t="str"/>
      <x:c r="E166" s="38" t="str">
        <x:v>Injerto De 90º 250/100 Mm</x:v>
      </x:c>
      <x:c r="F166" s="38" t="str">
        <x:v>INJERTO DE 90º 250/100 MM</x:v>
      </x:c>
      <x:c r="G166" s="38" t="str">
        <x:v>CG-INJ90-250100</x:v>
      </x:c>
      <x:c r="H166" s="38" t="str">
        <x:v>Comercial Santana Alemán y González, S.L. (Grupo SAG)</x:v>
      </x:c>
      <x:c r="I166" s="38" t="str">
        <x:v>Factura FM/5127</x:v>
      </x:c>
      <x:c r="J166" s="115" t="str">
        <x:v>30/06/2025</x:v>
      </x:c>
      <x:c r="K166" s="38" t="str">
        <x:v>Albarán NT/25.001.622</x:v>
      </x:c>
      <x:c r="L166" s="38" t="n">
        <x:v>2</x:v>
      </x:c>
      <x:c r="M166" s="38" t="str">
        <x:v>Unidad</x:v>
      </x:c>
      <x:c r="N166" s="38" t="n">
        <x:v>1</x:v>
      </x:c>
      <x:c r="O166" s="38" t="str">
        <x:v>Unidad</x:v>
      </x:c>
      <x:c r="P166" s="99" t="n">
        <x:v>9.3</x:v>
      </x:c>
      <x:c r="Q166" s="114" t="n">
        <x:v>0.5</x:v>
      </x:c>
      <x:c r="R166" s="99" t="n">
        <x:v>9.3</x:v>
      </x:c>
      <x:c r="S166" s="99" t="n">
        <x:f>IFERROR(R166/L166,P166*(1-Q166))</x:f>
        <x:v>4.65</x:v>
      </x:c>
      <x:c r="T166" s="114" t="n">
        <x:v>0.07</x:v>
      </x:c>
      <x:c r="U166" s="99" t="n">
        <x:f>S166*(1+T166)</x:f>
        <x:v>4.9755</x:v>
      </x:c>
      <x:c r="V166" s="99" t="n">
        <x:f>S166</x:f>
        <x:v>4.65</x:v>
      </x:c>
      <x:c r="W166" s="99" t="n">
        <x:f>V166-S166</x:f>
        <x:v>0</x:v>
      </x:c>
      <x:c r="X166" s="114" t="n">
        <x:f>IFERROR(W166/V166,0)</x:f>
        <x:v>0</x:v>
      </x:c>
      <x:c r="Y166" s="38" t="str">
        <x:v>Por unidad</x:v>
      </x:c>
      <x:c r="Z166" s="38" t="str">
        <x:f>IF(Y166="Botella / 3 instalaciones","Precio botella / 3",IF(Y166="Por rollo o metros proporcionales","Si se pasa rollo: rollo completo. Si se pasan metros: proporcional",Y166))</x:f>
        <x:v>Por unidad</x:v>
      </x:c>
      <x:c r="AA166" s="38" t="n">
        <x:v>1</x:v>
      </x:c>
      <x:c r="AB166" s="38" t="str"/>
      <x:c r="AC166" s="38" t="str"/>
      <x:c r="AD166" s="116" t="str">
        <x:v>2026-06-30</x:v>
      </x:c>
      <x:c r="AE166" s="38" t="str">
        <x:v>Sí</x:v>
      </x:c>
      <x:c r="AF166" s="38" t="str">
        <x:v>Revisar categoría antes de usar en cálculo automático.</x:v>
      </x:c>
    </x:row>
    <x:row r="167">
      <x:c r="A167" s="38" t="str">
        <x:v>MAT-0166</x:v>
      </x:c>
      <x:c r="B167" s="38" t="str">
        <x:v>Sí</x:v>
      </x:c>
      <x:c r="C167" s="38" t="str">
        <x:v>Sin clasificar</x:v>
      </x:c>
      <x:c r="D167" s="38" t="str"/>
      <x:c r="E167" s="38" t="str">
        <x:v>Abraz. Rm8+M10-100 (3 1/2")</x:v>
      </x:c>
      <x:c r="F167" s="38" t="str">
        <x:v>ABRAZ. RM8+M10-100 (3 1/2")</x:v>
      </x:c>
      <x:c r="G167" s="38" t="str">
        <x:v>15580100</x:v>
      </x:c>
      <x:c r="H167" s="38" t="str">
        <x:v>Comercial Santana Alemán y González, S.L. (Grupo SAG)</x:v>
      </x:c>
      <x:c r="I167" s="38" t="str">
        <x:v>Factura FM/5127</x:v>
      </x:c>
      <x:c r="J167" s="115" t="str">
        <x:v>30/06/2025</x:v>
      </x:c>
      <x:c r="K167" s="38" t="str">
        <x:v>Albarán NT/25.001.622</x:v>
      </x:c>
      <x:c r="L167" s="38" t="n">
        <x:v>5</x:v>
      </x:c>
      <x:c r="M167" s="38" t="str">
        <x:v>Unidad</x:v>
      </x:c>
      <x:c r="N167" s="38" t="n">
        <x:v>1</x:v>
      </x:c>
      <x:c r="O167" s="38" t="str">
        <x:v>Unidad</x:v>
      </x:c>
      <x:c r="P167" s="99" t="n">
        <x:v>1.46</x:v>
      </x:c>
      <x:c r="Q167" s="114" t="n">
        <x:v>0.45</x:v>
      </x:c>
      <x:c r="R167" s="99" t="n">
        <x:v>4.02</x:v>
      </x:c>
      <x:c r="S167" s="99" t="n">
        <x:f>IFERROR(R167/L167,P167*(1-Q167))</x:f>
        <x:v>0.8039999999999999</x:v>
      </x:c>
      <x:c r="T167" s="114" t="n">
        <x:v>0.07</x:v>
      </x:c>
      <x:c r="U167" s="99" t="n">
        <x:f>S167*(1+T167)</x:f>
        <x:v>0.8602799999999999</x:v>
      </x:c>
      <x:c r="V167" s="99" t="n">
        <x:f>S167</x:f>
        <x:v>0.8039999999999999</x:v>
      </x:c>
      <x:c r="W167" s="99" t="n">
        <x:f>V167-S167</x:f>
        <x:v>0</x:v>
      </x:c>
      <x:c r="X167" s="114" t="n">
        <x:f>IFERROR(W167/V167,0)</x:f>
        <x:v>0</x:v>
      </x:c>
      <x:c r="Y167" s="38" t="str">
        <x:v>Por unidad</x:v>
      </x:c>
      <x:c r="Z167" s="38" t="str">
        <x:f>IF(Y167="Botella / 3 instalaciones","Precio botella / 3",IF(Y167="Por rollo o metros proporcionales","Si se pasa rollo: rollo completo. Si se pasan metros: proporcional",Y167))</x:f>
        <x:v>Por unidad</x:v>
      </x:c>
      <x:c r="AA167" s="38" t="n">
        <x:v>1</x:v>
      </x:c>
      <x:c r="AB167" s="38" t="str"/>
      <x:c r="AC167" s="38" t="str"/>
      <x:c r="AD167" s="116" t="str">
        <x:v>2026-06-30</x:v>
      </x:c>
      <x:c r="AE167" s="38" t="str">
        <x:v>Sí</x:v>
      </x:c>
      <x:c r="AF167" s="38" t="str">
        <x:v>Revisar categoría antes de usar en cálculo automático.</x:v>
      </x:c>
    </x:row>
    <x:row r="168">
      <x:c r="A168" s="38" t="str">
        <x:v>MAT-0167</x:v>
      </x:c>
      <x:c r="B168" s="38" t="str">
        <x:v>Sí</x:v>
      </x:c>
      <x:c r="C168" s="38" t="str">
        <x:v>Sin clasificar</x:v>
      </x:c>
      <x:c r="D168" s="38" t="str"/>
      <x:c r="E168" s="38" t="str">
        <x:v>Compuerta De Regulacion Circular 100 Mm</x:v>
      </x:c>
      <x:c r="F168" s="38" t="str">
        <x:v>COMPUERTA DE REGULACION CIRCULAR 100 MM</x:v>
      </x:c>
      <x:c r="G168" s="38" t="str">
        <x:v>CF-REG-100</x:v>
      </x:c>
      <x:c r="H168" s="38" t="str">
        <x:v>Comercial Santana Alemán y González, S.L. (Grupo SAG)</x:v>
      </x:c>
      <x:c r="I168" s="38" t="str">
        <x:v>Factura FM/5127</x:v>
      </x:c>
      <x:c r="J168" s="115" t="str">
        <x:v>30/06/2025</x:v>
      </x:c>
      <x:c r="K168" s="38" t="str">
        <x:v>Albarán NT/25.001.622</x:v>
      </x:c>
      <x:c r="L168" s="38" t="n">
        <x:v>1</x:v>
      </x:c>
      <x:c r="M168" s="38" t="str">
        <x:v>Unidad</x:v>
      </x:c>
      <x:c r="N168" s="38" t="n">
        <x:v>1</x:v>
      </x:c>
      <x:c r="O168" s="38" t="str">
        <x:v>Unidad</x:v>
      </x:c>
      <x:c r="P168" s="99" t="n">
        <x:v>16.37</x:v>
      </x:c>
      <x:c r="Q168" s="114" t="n">
        <x:v>0.4</x:v>
      </x:c>
      <x:c r="R168" s="99" t="n">
        <x:v>9.82</x:v>
      </x:c>
      <x:c r="S168" s="99" t="n">
        <x:f>IFERROR(R168/L168,P168*(1-Q168))</x:f>
        <x:v>9.82</x:v>
      </x:c>
      <x:c r="T168" s="114" t="n">
        <x:v>0.07</x:v>
      </x:c>
      <x:c r="U168" s="99" t="n">
        <x:f>S168*(1+T168)</x:f>
        <x:v>10.5074</x:v>
      </x:c>
      <x:c r="V168" s="99" t="n">
        <x:f>S168</x:f>
        <x:v>9.82</x:v>
      </x:c>
      <x:c r="W168" s="99" t="n">
        <x:f>V168-S168</x:f>
        <x:v>0</x:v>
      </x:c>
      <x:c r="X168" s="114" t="n">
        <x:f>IFERROR(W168/V168,0)</x:f>
        <x:v>0</x:v>
      </x:c>
      <x:c r="Y168" s="38" t="str">
        <x:v>Por unidad</x:v>
      </x:c>
      <x:c r="Z168" s="38" t="str">
        <x:f>IF(Y168="Botella / 3 instalaciones","Precio botella / 3",IF(Y168="Por rollo o metros proporcionales","Si se pasa rollo: rollo completo. Si se pasan metros: proporcional",Y168))</x:f>
        <x:v>Por unidad</x:v>
      </x:c>
      <x:c r="AA168" s="38" t="n">
        <x:v>1</x:v>
      </x:c>
      <x:c r="AB168" s="38" t="str"/>
      <x:c r="AC168" s="38" t="str"/>
      <x:c r="AD168" s="116" t="str">
        <x:v>2026-06-30</x:v>
      </x:c>
      <x:c r="AE168" s="38" t="str">
        <x:v>Sí</x:v>
      </x:c>
      <x:c r="AF168" s="38" t="str">
        <x:v>Revisar categoría antes de usar en cálculo automático.</x:v>
      </x:c>
    </x:row>
    <x:row r="169">
      <x:c r="A169" s="38" t="str">
        <x:v>MAT-0168</x:v>
      </x:c>
      <x:c r="B169" s="38" t="str">
        <x:v>Sí</x:v>
      </x:c>
      <x:c r="C169" s="38" t="str">
        <x:v>Conductos/Ventilación</x:v>
      </x:c>
      <x:c r="D169" s="38" t="str">
        <x:v>Conducto/accesorio</x:v>
      </x:c>
      <x:c r="E169" s="38" t="str">
        <x:v>Manguito Galvanizado De 100 Mm</x:v>
      </x:c>
      <x:c r="F169" s="38" t="str">
        <x:v>MANGUITO GALVANIZADO DE 100 MM</x:v>
      </x:c>
      <x:c r="G169" s="38" t="str">
        <x:v>CG-MAN-100</x:v>
      </x:c>
      <x:c r="H169" s="38" t="str">
        <x:v>Comercial Santana Alemán y González, S.L. (Grupo SAG)</x:v>
      </x:c>
      <x:c r="I169" s="38" t="str">
        <x:v>Factura FM/5127</x:v>
      </x:c>
      <x:c r="J169" s="115" t="str">
        <x:v>30/06/2025</x:v>
      </x:c>
      <x:c r="K169" s="38" t="str">
        <x:v>Albarán NT/25.001.622</x:v>
      </x:c>
      <x:c r="L169" s="38" t="n">
        <x:v>2</x:v>
      </x:c>
      <x:c r="M169" s="38" t="str">
        <x:v>Unidad</x:v>
      </x:c>
      <x:c r="N169" s="38" t="n">
        <x:v>1</x:v>
      </x:c>
      <x:c r="O169" s="38" t="str">
        <x:v>Unidad</x:v>
      </x:c>
      <x:c r="P169" s="99" t="n">
        <x:v>3.75</x:v>
      </x:c>
      <x:c r="Q169" s="114" t="n">
        <x:v>0.5</x:v>
      </x:c>
      <x:c r="R169" s="99" t="n">
        <x:v>3.75</x:v>
      </x:c>
      <x:c r="S169" s="99" t="n">
        <x:f>IFERROR(R169/L169,P169*(1-Q169))</x:f>
        <x:v>1.875</x:v>
      </x:c>
      <x:c r="T169" s="114" t="n">
        <x:v>0.07</x:v>
      </x:c>
      <x:c r="U169" s="99" t="n">
        <x:f>S169*(1+T169)</x:f>
        <x:v>2.00625</x:v>
      </x:c>
      <x:c r="V169" s="99" t="n">
        <x:f>S169</x:f>
        <x:v>1.875</x:v>
      </x:c>
      <x:c r="W169" s="99" t="n">
        <x:f>V169-S169</x:f>
        <x:v>0</x:v>
      </x:c>
      <x:c r="X169" s="114" t="n">
        <x:f>IFERROR(W169/V169,0)</x:f>
        <x:v>0</x:v>
      </x:c>
      <x:c r="Y169" s="38" t="str">
        <x:v>Por unidad</x:v>
      </x:c>
      <x:c r="Z169" s="38" t="str">
        <x:f>IF(Y169="Botella / 3 instalaciones","Precio botella / 3",IF(Y169="Por rollo o metros proporcionales","Si se pasa rollo: rollo completo. Si se pasan metros: proporcional",Y169))</x:f>
        <x:v>Por unidad</x:v>
      </x:c>
      <x:c r="AA169" s="38" t="n">
        <x:v>1</x:v>
      </x:c>
      <x:c r="AB169" s="38" t="str"/>
      <x:c r="AC169" s="38" t="str"/>
      <x:c r="AD169" s="116" t="str">
        <x:v>2026-06-30</x:v>
      </x:c>
      <x:c r="AE169" s="38" t="str">
        <x:v>No</x:v>
      </x:c>
      <x:c r="AF169" s="38" t="str"/>
    </x:row>
    <x:row r="170">
      <x:c r="A170" s="38" t="str">
        <x:v>MAT-0169</x:v>
      </x:c>
      <x:c r="B170" s="38" t="str">
        <x:v>Sí</x:v>
      </x:c>
      <x:c r="C170" s="38" t="str">
        <x:v>Soportes y fijaciones</x:v>
      </x:c>
      <x:c r="D170" s="38" t="str">
        <x:v>Soportes/amortiguadores</x:v>
      </x:c>
      <x:c r="E170" s="38" t="str">
        <x:v>Juego Amortiguadores (4)</x:v>
      </x:c>
      <x:c r="F170" s="38" t="str">
        <x:v>JUEGO AMORTIGUADORES (4)</x:v>
      </x:c>
      <x:c r="G170" s="38" t="str">
        <x:v>SG-40 AIRPACK</x:v>
      </x:c>
      <x:c r="H170" s="38" t="str">
        <x:v>Sánchez Arencibia, S.A.</x:v>
      </x:c>
      <x:c r="I170" s="38" t="str">
        <x:v>Factura F/234,515</x:v>
      </x:c>
      <x:c r="J170" s="115" t="str">
        <x:v>30/04/2026</x:v>
      </x:c>
      <x:c r="K170" s="38" t="str">
        <x:v>Albarán TF 536,519 (06/04/2026)</x:v>
      </x:c>
      <x:c r="L170" s="38" t="n">
        <x:v>1</x:v>
      </x:c>
      <x:c r="M170" s="38" t="str">
        <x:v>Unidad</x:v>
      </x:c>
      <x:c r="N170" s="38" t="n">
        <x:v>1</x:v>
      </x:c>
      <x:c r="O170" s="38" t="str">
        <x:v>Unidad</x:v>
      </x:c>
      <x:c r="P170" s="99" t="n">
        <x:v>2.7</x:v>
      </x:c>
      <x:c r="Q170" s="114" t="n">
        <x:v>0.4</x:v>
      </x:c>
      <x:c r="R170" s="99" t="n">
        <x:v>1.62</x:v>
      </x:c>
      <x:c r="S170" s="99" t="n">
        <x:f>IFERROR(R170/L170,P170*(1-Q170))</x:f>
        <x:v>1.62</x:v>
      </x:c>
      <x:c r="T170" s="114" t="n">
        <x:v>0.07</x:v>
      </x:c>
      <x:c r="U170" s="99" t="n">
        <x:f>S170*(1+T170)</x:f>
        <x:v>1.7334000000000003</x:v>
      </x:c>
      <x:c r="V170" s="99" t="n">
        <x:f>S170</x:f>
        <x:v>1.62</x:v>
      </x:c>
      <x:c r="W170" s="99" t="n">
        <x:f>V170-S170</x:f>
        <x:v>0</x:v>
      </x:c>
      <x:c r="X170" s="114" t="n">
        <x:f>IFERROR(W170/V170,0)</x:f>
        <x:v>0</x:v>
      </x:c>
      <x:c r="Y170" s="38" t="str">
        <x:v>Por unidad</x:v>
      </x:c>
      <x:c r="Z170" s="38" t="str">
        <x:f>IF(Y170="Botella / 3 instalaciones","Precio botella / 3",IF(Y170="Por rollo o metros proporcionales","Si se pasa rollo: rollo completo. Si se pasan metros: proporcional",Y170))</x:f>
        <x:v>Por unidad</x:v>
      </x:c>
      <x:c r="AA170" s="38" t="n">
        <x:v>1</x:v>
      </x:c>
      <x:c r="AB170" s="38" t="str">
        <x:v>Sánchez Arencibia, S.A.</x:v>
      </x:c>
      <x:c r="AC170" s="38" t="str">
        <x:v>Media-Baja</x:v>
      </x:c>
      <x:c r="AD170" s="116" t="str">
        <x:v>2026-06-30</x:v>
      </x:c>
      <x:c r="AE170" s="38" t="str">
        <x:v>No</x:v>
      </x:c>
      <x:c r="AF170" s="38" t="str">
        <x:v>Comparativa orientativa: revisar ficha/medida antes de decidir proveedor.</x:v>
      </x:c>
    </x:row>
    <x:row r="171">
      <x:c r="A171" s="38" t="str">
        <x:v>MAT-0170</x:v>
      </x:c>
      <x:c r="B171" s="38" t="str">
        <x:v>Sí</x:v>
      </x:c>
      <x:c r="C171" s="38" t="str">
        <x:v>Máquina/Equipo</x:v>
      </x:c>
      <x:c r="D171" s="38" t="str">
        <x:v>Equipo climatización</x:v>
      </x:c>
      <x:c r="E171" s="38" t="str">
        <x:v>Higienizante Splits 5 Lts.</x:v>
      </x:c>
      <x:c r="F171" s="38" t="str">
        <x:v>HIGIENIZANTE SPLITS 5 LTS.</x:v>
      </x:c>
      <x:c r="G171" s="38" t="str">
        <x:v>AIRPUR 5 LTS.</x:v>
      </x:c>
      <x:c r="H171" s="38" t="str">
        <x:v>Sánchez Arencibia, S.A.</x:v>
      </x:c>
      <x:c r="I171" s="38" t="str">
        <x:v>Factura F/234,515</x:v>
      </x:c>
      <x:c r="J171" s="115" t="str">
        <x:v>30/04/2026</x:v>
      </x:c>
      <x:c r="K171" s="38" t="str">
        <x:v>Albarán TF 536,618 (07/04/2026)</x:v>
      </x:c>
      <x:c r="L171" s="38" t="n">
        <x:v>1</x:v>
      </x:c>
      <x:c r="M171" s="38" t="str">
        <x:v>Unidad</x:v>
      </x:c>
      <x:c r="N171" s="38" t="n">
        <x:v>1</x:v>
      </x:c>
      <x:c r="O171" s="38" t="str">
        <x:v>Unidad</x:v>
      </x:c>
      <x:c r="P171" s="99" t="n">
        <x:v>77.12</x:v>
      </x:c>
      <x:c r="Q171" s="114" t="n">
        <x:v>0.25</x:v>
      </x:c>
      <x:c r="R171" s="99" t="n">
        <x:v>57.84</x:v>
      </x:c>
      <x:c r="S171" s="99" t="n">
        <x:f>IFERROR(R171/L171,P171*(1-Q171))</x:f>
        <x:v>57.84</x:v>
      </x:c>
      <x:c r="T171" s="114" t="n">
        <x:v>0.07</x:v>
      </x:c>
      <x:c r="U171" s="99" t="n">
        <x:f>S171*(1+T171)</x:f>
        <x:v>61.88880000000001</x:v>
      </x:c>
      <x:c r="V171" s="99" t="n">
        <x:f>S171</x:f>
        <x:v>57.84</x:v>
      </x:c>
      <x:c r="W171" s="99" t="n">
        <x:f>V171-S171</x:f>
        <x:v>0</x:v>
      </x:c>
      <x:c r="X171" s="114" t="n">
        <x:f>IFERROR(W171/V171,0)</x:f>
        <x:v>0</x:v>
      </x:c>
      <x:c r="Y171" s="38" t="str">
        <x:v>Por unidad</x:v>
      </x:c>
      <x:c r="Z171" s="38" t="str">
        <x:f>IF(Y171="Botella / 3 instalaciones","Precio botella / 3",IF(Y171="Por rollo o metros proporcionales","Si se pasa rollo: rollo completo. Si se pasan metros: proporcional",Y171))</x:f>
        <x:v>Por unidad</x:v>
      </x:c>
      <x:c r="AA171" s="38" t="n">
        <x:v>1</x:v>
      </x:c>
      <x:c r="AB171" s="38" t="str"/>
      <x:c r="AC171" s="38" t="str"/>
      <x:c r="AD171" s="116" t="str">
        <x:v>2026-06-30</x:v>
      </x:c>
      <x:c r="AE171" s="38" t="str">
        <x:v>No</x:v>
      </x:c>
      <x:c r="AF171" s="38" t="str"/>
    </x:row>
    <x:row r="172">
      <x:c r="A172" s="38" t="str">
        <x:v>MAT-0171</x:v>
      </x:c>
      <x:c r="B172" s="38" t="str">
        <x:v>Sí</x:v>
      </x:c>
      <x:c r="C172" s="38" t="str">
        <x:v>Máquina/Equipo</x:v>
      </x:c>
      <x:c r="D172" s="38" t="str">
        <x:v>Equipo climatización</x:v>
      </x:c>
      <x:c r="E172" s="38" t="str">
        <x:v>Liquido Limpieza Split</x:v>
      </x:c>
      <x:c r="F172" s="38" t="str">
        <x:v>LIQUIDO LIMPIEZA SPLIT</x:v>
      </x:c>
      <x:c r="G172" s="38" t="str">
        <x:v>AIRNET 0,75 LT.</x:v>
      </x:c>
      <x:c r="H172" s="38" t="str">
        <x:v>Sánchez Arencibia, S.A.</x:v>
      </x:c>
      <x:c r="I172" s="38" t="str">
        <x:v>Factura F/234,515</x:v>
      </x:c>
      <x:c r="J172" s="115" t="str">
        <x:v>30/04/2026</x:v>
      </x:c>
      <x:c r="K172" s="38" t="str">
        <x:v>Albarán TF 536,618 (07/04/2026)</x:v>
      </x:c>
      <x:c r="L172" s="38" t="n">
        <x:v>1</x:v>
      </x:c>
      <x:c r="M172" s="38" t="str">
        <x:v>Unidad</x:v>
      </x:c>
      <x:c r="N172" s="38" t="n">
        <x:v>1</x:v>
      </x:c>
      <x:c r="O172" s="38" t="str">
        <x:v>Unidad</x:v>
      </x:c>
      <x:c r="P172" s="99" t="n">
        <x:v>11.53</x:v>
      </x:c>
      <x:c r="Q172" s="114" t="n">
        <x:v>0.25</x:v>
      </x:c>
      <x:c r="R172" s="99" t="n">
        <x:v>8.65</x:v>
      </x:c>
      <x:c r="S172" s="99" t="n">
        <x:f>IFERROR(R172/L172,P172*(1-Q172))</x:f>
        <x:v>8.65</x:v>
      </x:c>
      <x:c r="T172" s="114" t="n">
        <x:v>0.07</x:v>
      </x:c>
      <x:c r="U172" s="99" t="n">
        <x:f>S172*(1+T172)</x:f>
        <x:v>9.255500000000001</x:v>
      </x:c>
      <x:c r="V172" s="99" t="n">
        <x:f>S172</x:f>
        <x:v>8.65</x:v>
      </x:c>
      <x:c r="W172" s="99" t="n">
        <x:f>V172-S172</x:f>
        <x:v>0</x:v>
      </x:c>
      <x:c r="X172" s="114" t="n">
        <x:f>IFERROR(W172/V172,0)</x:f>
        <x:v>0</x:v>
      </x:c>
      <x:c r="Y172" s="38" t="str">
        <x:v>Por unidad</x:v>
      </x:c>
      <x:c r="Z172" s="38" t="str">
        <x:f>IF(Y172="Botella / 3 instalaciones","Precio botella / 3",IF(Y172="Por rollo o metros proporcionales","Si se pasa rollo: rollo completo. Si se pasan metros: proporcional",Y172))</x:f>
        <x:v>Por unidad</x:v>
      </x:c>
      <x:c r="AA172" s="38" t="n">
        <x:v>1</x:v>
      </x:c>
      <x:c r="AB172" s="38" t="str"/>
      <x:c r="AC172" s="38" t="str"/>
      <x:c r="AD172" s="116" t="str">
        <x:v>2026-06-30</x:v>
      </x:c>
      <x:c r="AE172" s="38" t="str">
        <x:v>No</x:v>
      </x:c>
      <x:c r="AF172" s="38" t="str"/>
    </x:row>
    <x:row r="173">
      <x:c r="A173" s="38" t="str">
        <x:v>MAT-0172</x:v>
      </x:c>
      <x:c r="B173" s="38" t="str">
        <x:v>Sí</x:v>
      </x:c>
      <x:c r="C173" s="38" t="str">
        <x:v>Tubería frigorífica</x:v>
      </x:c>
      <x:c r="D173" s="38" t="str">
        <x:v>Cobre frigorífico aislado</x:v>
      </x:c>
      <x:c r="E173" s="38" t="str">
        <x:v>Tubo Cobre Aisl 20 Mt</x:v>
      </x:c>
      <x:c r="F173" s="38" t="str">
        <x:v>TUBO COBRE AISL 20 MT</x:v>
      </x:c>
      <x:c r="G173" s="38" t="str">
        <x:v>BIPOL. 1/4+3/8</x:v>
      </x:c>
      <x:c r="H173" s="38" t="str">
        <x:v>Sánchez Arencibia, S.A.</x:v>
      </x:c>
      <x:c r="I173" s="38" t="str">
        <x:v>Factura F/234,515</x:v>
      </x:c>
      <x:c r="J173" s="115" t="str">
        <x:v>30/04/2026</x:v>
      </x:c>
      <x:c r="K173" s="38" t="str">
        <x:v>Albarán TF 536,867 (13/04/2026)</x:v>
      </x:c>
      <x:c r="L173" s="38" t="n">
        <x:v>3</x:v>
      </x:c>
      <x:c r="M173" s="38" t="str">
        <x:v>Rollo</x:v>
      </x:c>
      <x:c r="N173" s="38" t="n">
        <x:v>20</x:v>
      </x:c>
      <x:c r="O173" s="38" t="str">
        <x:v>Metro</x:v>
      </x:c>
      <x:c r="P173" s="99" t="n">
        <x:v>139.12</x:v>
      </x:c>
      <x:c r="Q173" s="114" t="n">
        <x:v>0.3</x:v>
      </x:c>
      <x:c r="R173" s="99" t="n">
        <x:v>292.15</x:v>
      </x:c>
      <x:c r="S173" s="99" t="n">
        <x:f>IFERROR(R173/L173,P173*(1-Q173))</x:f>
        <x:v>97.38333333333333</x:v>
      </x:c>
      <x:c r="T173" s="114" t="n">
        <x:v>0.07</x:v>
      </x:c>
      <x:c r="U173" s="99" t="n">
        <x:f>S173*(1+T173)</x:f>
        <x:v>104.20016666666666</x:v>
      </x:c>
      <x:c r="V173" s="99" t="n">
        <x:f>S173</x:f>
        <x:v>97.38333333333333</x:v>
      </x:c>
      <x:c r="W173" s="99" t="n">
        <x:f>V173-S173</x:f>
        <x:v>0</x:v>
      </x:c>
      <x:c r="X173" s="114" t="n">
        <x:f>IFERROR(W173/V173,0)</x:f>
        <x:v>0</x:v>
      </x:c>
      <x:c r="Y173" s="38" t="str">
        <x:v>Por rollo o metros proporcionales</x:v>
      </x:c>
      <x:c r="Z173" s="38" t="str">
        <x:f>IF(Y173="Botella / 3 instalaciones","Precio botella / 3",IF(Y173="Por rollo o metros proporcionales","Si se pasa rollo: rollo completo. Si se pasan metros: proporcional",Y173))</x:f>
        <x:v>Si se pasa rollo: rollo completo. Si se pasan metros: proporcional</x:v>
      </x:c>
      <x:c r="AA173" s="38" t="n">
        <x:v>20</x:v>
      </x:c>
      <x:c r="AB173" s="38" t="str"/>
      <x:c r="AC173" s="38" t="str"/>
      <x:c r="AD173" s="116" t="str">
        <x:v>2026-06-30</x:v>
      </x:c>
      <x:c r="AE173" s="38" t="str">
        <x:v>No</x:v>
      </x:c>
      <x:c r="AF173" s="38" t="str"/>
    </x:row>
    <x:row r="174">
      <x:c r="A174" s="38" t="str">
        <x:v>MAT-0173</x:v>
      </x:c>
      <x:c r="B174" s="38" t="str">
        <x:v>Sí</x:v>
      </x:c>
      <x:c r="C174" s="38" t="str">
        <x:v>Máquina/Equipo</x:v>
      </x:c>
      <x:c r="D174" s="38" t="str">
        <x:v>Equipo climatización</x:v>
      </x:c>
      <x:c r="E174" s="38" t="str">
        <x:v>Soporte Condensadora</x:v>
      </x:c>
      <x:c r="F174" s="38" t="str">
        <x:v>SOPORTE CONDENSADORA</x:v>
      </x:c>
      <x:c r="G174" s="38" t="str">
        <x:v>R-1600500</x:v>
      </x:c>
      <x:c r="H174" s="38" t="str">
        <x:v>Sánchez Arencibia, S.A.</x:v>
      </x:c>
      <x:c r="I174" s="38" t="str">
        <x:v>Factura F/234,515</x:v>
      </x:c>
      <x:c r="J174" s="115" t="str">
        <x:v>30/04/2026</x:v>
      </x:c>
      <x:c r="K174" s="38" t="str">
        <x:v>Albarán TF 537,491 (23/04/2026)</x:v>
      </x:c>
      <x:c r="L174" s="38" t="n">
        <x:v>1</x:v>
      </x:c>
      <x:c r="M174" s="38" t="str">
        <x:v>Unidad</x:v>
      </x:c>
      <x:c r="N174" s="38" t="n">
        <x:v>1</x:v>
      </x:c>
      <x:c r="O174" s="38" t="str">
        <x:v>Unidad</x:v>
      </x:c>
      <x:c r="P174" s="99" t="n">
        <x:v>11.88</x:v>
      </x:c>
      <x:c r="Q174" s="114" t="n">
        <x:v>0.4</x:v>
      </x:c>
      <x:c r="R174" s="99" t="n">
        <x:v>7.13</x:v>
      </x:c>
      <x:c r="S174" s="99" t="n">
        <x:f>IFERROR(R174/L174,P174*(1-Q174))</x:f>
        <x:v>7.13</x:v>
      </x:c>
      <x:c r="T174" s="114" t="n">
        <x:v>0.07</x:v>
      </x:c>
      <x:c r="U174" s="99" t="n">
        <x:f>S174*(1+T174)</x:f>
        <x:v>7.6291</x:v>
      </x:c>
      <x:c r="V174" s="99" t="n">
        <x:f>S174</x:f>
        <x:v>7.13</x:v>
      </x:c>
      <x:c r="W174" s="99" t="n">
        <x:f>V174-S174</x:f>
        <x:v>0</x:v>
      </x:c>
      <x:c r="X174" s="114" t="n">
        <x:f>IFERROR(W174/V174,0)</x:f>
        <x:v>0</x:v>
      </x:c>
      <x:c r="Y174" s="38" t="str">
        <x:v>Por unidad</x:v>
      </x:c>
      <x:c r="Z174" s="38" t="str">
        <x:f>IF(Y174="Botella / 3 instalaciones","Precio botella / 3",IF(Y174="Por rollo o metros proporcionales","Si se pasa rollo: rollo completo. Si se pasan metros: proporcional",Y174))</x:f>
        <x:v>Por unidad</x:v>
      </x:c>
      <x:c r="AA174" s="38" t="n">
        <x:v>1</x:v>
      </x:c>
      <x:c r="AB174" s="38" t="str">
        <x:v>Sánchez Arencibia, S.A.</x:v>
      </x:c>
      <x:c r="AC174" s="38" t="str">
        <x:v>Media</x:v>
      </x:c>
      <x:c r="AD174" s="116" t="str">
        <x:v>2026-06-30</x:v>
      </x:c>
      <x:c r="AE174" s="38" t="str">
        <x:v>No</x:v>
      </x:c>
      <x:c r="AF174" s="38" t="str">
        <x:v>Comparativa orientativa: revisar ficha/medida antes de decidir proveedor.</x:v>
      </x:c>
    </x:row>
    <x:row r="175">
      <x:c r="A175" s="38" t="str">
        <x:v>MAT-0174</x:v>
      </x:c>
      <x:c r="B175" s="38" t="str">
        <x:v>Sí</x:v>
      </x:c>
      <x:c r="C175" s="38" t="str">
        <x:v>Soportes y fijaciones</x:v>
      </x:c>
      <x:c r="D175" s="38" t="str">
        <x:v>Soportes/amortiguadores</x:v>
      </x:c>
      <x:c r="E175" s="38" t="str">
        <x:v>Juego Amortiguadores (4)</x:v>
      </x:c>
      <x:c r="F175" s="38" t="str">
        <x:v>JUEGO AMORTIGUADORES (4)</x:v>
      </x:c>
      <x:c r="G175" s="38" t="str">
        <x:v>AG-35 V1 INST.</x:v>
      </x:c>
      <x:c r="H175" s="38" t="str">
        <x:v>Sánchez Arencibia, S.A.</x:v>
      </x:c>
      <x:c r="I175" s="38" t="str">
        <x:v>Factura F/234,515</x:v>
      </x:c>
      <x:c r="J175" s="115" t="str">
        <x:v>30/04/2026</x:v>
      </x:c>
      <x:c r="K175" s="38" t="str">
        <x:v>Albarán TF 537,491 (23/04/2026)</x:v>
      </x:c>
      <x:c r="L175" s="38" t="n">
        <x:v>1</x:v>
      </x:c>
      <x:c r="M175" s="38" t="str">
        <x:v>Unidad</x:v>
      </x:c>
      <x:c r="N175" s="38" t="n">
        <x:v>1</x:v>
      </x:c>
      <x:c r="O175" s="38" t="str">
        <x:v>Unidad</x:v>
      </x:c>
      <x:c r="P175" s="99" t="n">
        <x:v>2</x:v>
      </x:c>
      <x:c r="Q175" s="114" t="n">
        <x:v>0.4</x:v>
      </x:c>
      <x:c r="R175" s="99" t="n">
        <x:v>1.2</x:v>
      </x:c>
      <x:c r="S175" s="99" t="n">
        <x:f>IFERROR(R175/L175,P175*(1-Q175))</x:f>
        <x:v>1.2</x:v>
      </x:c>
      <x:c r="T175" s="114" t="n">
        <x:v>0.07</x:v>
      </x:c>
      <x:c r="U175" s="99" t="n">
        <x:f>S175*(1+T175)</x:f>
        <x:v>1.284</x:v>
      </x:c>
      <x:c r="V175" s="99" t="n">
        <x:f>S175</x:f>
        <x:v>1.2</x:v>
      </x:c>
      <x:c r="W175" s="99" t="n">
        <x:f>V175-S175</x:f>
        <x:v>0</x:v>
      </x:c>
      <x:c r="X175" s="114" t="n">
        <x:f>IFERROR(W175/V175,0)</x:f>
        <x:v>0</x:v>
      </x:c>
      <x:c r="Y175" s="38" t="str">
        <x:v>Por unidad</x:v>
      </x:c>
      <x:c r="Z175" s="38" t="str">
        <x:f>IF(Y175="Botella / 3 instalaciones","Precio botella / 3",IF(Y175="Por rollo o metros proporcionales","Si se pasa rollo: rollo completo. Si se pasan metros: proporcional",Y175))</x:f>
        <x:v>Por unidad</x:v>
      </x:c>
      <x:c r="AA175" s="38" t="n">
        <x:v>1</x:v>
      </x:c>
      <x:c r="AB175" s="38" t="str">
        <x:v>Sánchez Arencibia, S.A.</x:v>
      </x:c>
      <x:c r="AC175" s="38" t="str">
        <x:v>Media-Baja</x:v>
      </x:c>
      <x:c r="AD175" s="116" t="str">
        <x:v>2026-06-30</x:v>
      </x:c>
      <x:c r="AE175" s="38" t="str">
        <x:v>No</x:v>
      </x:c>
      <x:c r="AF175" s="38" t="str">
        <x:v>Comparativa orientativa: revisar ficha/medida antes de decidir proveedor.</x:v>
      </x:c>
    </x:row>
    <x:row r="176">
      <x:c r="A176" s="38" t="str">
        <x:v>MAT-0175</x:v>
      </x:c>
      <x:c r="B176" s="38" t="str">
        <x:v>Sí</x:v>
      </x:c>
      <x:c r="C176" s="38" t="str">
        <x:v>Tubería frigorífica</x:v>
      </x:c>
      <x:c r="D176" s="38" t="str">
        <x:v>Cobre frigorífico aislado</x:v>
      </x:c>
      <x:c r="E176" s="38" t="str">
        <x:v>Tubo Cobre Aisl 20 Mt</x:v>
      </x:c>
      <x:c r="F176" s="38" t="str">
        <x:v>TUBO COBRE AISL 20 MT</x:v>
      </x:c>
      <x:c r="G176" s="38" t="str">
        <x:v>BIPOL. 1/4+3/8</x:v>
      </x:c>
      <x:c r="H176" s="38" t="str">
        <x:v>Sánchez Arencibia, S.A.</x:v>
      </x:c>
      <x:c r="I176" s="38" t="str">
        <x:v>Factura F/234,515</x:v>
      </x:c>
      <x:c r="J176" s="115" t="str">
        <x:v>30/04/2026</x:v>
      </x:c>
      <x:c r="K176" s="38" t="str">
        <x:v>Albarán TF 537,529 (24/04/2026)</x:v>
      </x:c>
      <x:c r="L176" s="38" t="n">
        <x:v>1</x:v>
      </x:c>
      <x:c r="M176" s="38" t="str">
        <x:v>Rollo</x:v>
      </x:c>
      <x:c r="N176" s="38" t="n">
        <x:v>20</x:v>
      </x:c>
      <x:c r="O176" s="38" t="str">
        <x:v>Metro</x:v>
      </x:c>
      <x:c r="P176" s="99" t="n">
        <x:v>139.12</x:v>
      </x:c>
      <x:c r="Q176" s="114" t="n">
        <x:v>0.3</x:v>
      </x:c>
      <x:c r="R176" s="99" t="n">
        <x:v>97.38</x:v>
      </x:c>
      <x:c r="S176" s="99" t="n">
        <x:f>IFERROR(R176/L176,P176*(1-Q176))</x:f>
        <x:v>97.38</x:v>
      </x:c>
      <x:c r="T176" s="114" t="n">
        <x:v>0.07</x:v>
      </x:c>
      <x:c r="U176" s="99" t="n">
        <x:f>S176*(1+T176)</x:f>
        <x:v>104.1966</x:v>
      </x:c>
      <x:c r="V176" s="99" t="n">
        <x:f>S176</x:f>
        <x:v>97.38</x:v>
      </x:c>
      <x:c r="W176" s="99" t="n">
        <x:f>V176-S176</x:f>
        <x:v>0</x:v>
      </x:c>
      <x:c r="X176" s="114" t="n">
        <x:f>IFERROR(W176/V176,0)</x:f>
        <x:v>0</x:v>
      </x:c>
      <x:c r="Y176" s="38" t="str">
        <x:v>Por rollo o metros proporcionales</x:v>
      </x:c>
      <x:c r="Z176" s="38" t="str">
        <x:f>IF(Y176="Botella / 3 instalaciones","Precio botella / 3",IF(Y176="Por rollo o metros proporcionales","Si se pasa rollo: rollo completo. Si se pasan metros: proporcional",Y176))</x:f>
        <x:v>Si se pasa rollo: rollo completo. Si se pasan metros: proporcional</x:v>
      </x:c>
      <x:c r="AA176" s="38" t="n">
        <x:v>20</x:v>
      </x:c>
      <x:c r="AB176" s="38" t="str"/>
      <x:c r="AC176" s="38" t="str"/>
      <x:c r="AD176" s="116" t="str">
        <x:v>2026-06-30</x:v>
      </x:c>
      <x:c r="AE176" s="38" t="str">
        <x:v>No</x:v>
      </x:c>
      <x:c r="AF176" s="38" t="str"/>
    </x:row>
    <x:row r="177">
      <x:c r="A177" s="38" t="str">
        <x:v>MAT-0176</x:v>
      </x:c>
      <x:c r="B177" s="38" t="str">
        <x:v>Sí</x:v>
      </x:c>
      <x:c r="C177" s="38" t="str">
        <x:v>Máquina/Equipo</x:v>
      </x:c>
      <x:c r="D177" s="38" t="str">
        <x:v>Equipo climatización</x:v>
      </x:c>
      <x:c r="E177" s="38" t="str">
        <x:v>Soporte Condensadora</x:v>
      </x:c>
      <x:c r="F177" s="38" t="str">
        <x:v>SOPORTE CONDENSADORA</x:v>
      </x:c>
      <x:c r="G177" s="38" t="str">
        <x:v>R-1600500</x:v>
      </x:c>
      <x:c r="H177" s="38" t="str">
        <x:v>Sánchez Arencibia, S.A.</x:v>
      </x:c>
      <x:c r="I177" s="38" t="str">
        <x:v>Factura F/234,515</x:v>
      </x:c>
      <x:c r="J177" s="115" t="str">
        <x:v>30/04/2026</x:v>
      </x:c>
      <x:c r="K177" s="38" t="str">
        <x:v>Albarán TF 537,663 (28/04/2026)</x:v>
      </x:c>
      <x:c r="L177" s="38" t="n">
        <x:v>2</x:v>
      </x:c>
      <x:c r="M177" s="38" t="str">
        <x:v>Unidad</x:v>
      </x:c>
      <x:c r="N177" s="38" t="n">
        <x:v>1</x:v>
      </x:c>
      <x:c r="O177" s="38" t="str">
        <x:v>Unidad</x:v>
      </x:c>
      <x:c r="P177" s="99" t="n">
        <x:v>11.88</x:v>
      </x:c>
      <x:c r="Q177" s="114" t="n">
        <x:v>0.4</x:v>
      </x:c>
      <x:c r="R177" s="99" t="n">
        <x:v>14.26</x:v>
      </x:c>
      <x:c r="S177" s="99" t="n">
        <x:f>IFERROR(R177/L177,P177*(1-Q177))</x:f>
        <x:v>7.13</x:v>
      </x:c>
      <x:c r="T177" s="114" t="n">
        <x:v>0.07</x:v>
      </x:c>
      <x:c r="U177" s="99" t="n">
        <x:f>S177*(1+T177)</x:f>
        <x:v>7.6291</x:v>
      </x:c>
      <x:c r="V177" s="99" t="n">
        <x:f>S177</x:f>
        <x:v>7.13</x:v>
      </x:c>
      <x:c r="W177" s="99" t="n">
        <x:f>V177-S177</x:f>
        <x:v>0</x:v>
      </x:c>
      <x:c r="X177" s="114" t="n">
        <x:f>IFERROR(W177/V177,0)</x:f>
        <x:v>0</x:v>
      </x:c>
      <x:c r="Y177" s="38" t="str">
        <x:v>Por unidad</x:v>
      </x:c>
      <x:c r="Z177" s="38" t="str">
        <x:f>IF(Y177="Botella / 3 instalaciones","Precio botella / 3",IF(Y177="Por rollo o metros proporcionales","Si se pasa rollo: rollo completo. Si se pasan metros: proporcional",Y177))</x:f>
        <x:v>Por unidad</x:v>
      </x:c>
      <x:c r="AA177" s="38" t="n">
        <x:v>1</x:v>
      </x:c>
      <x:c r="AB177" s="38" t="str">
        <x:v>Sánchez Arencibia, S.A.</x:v>
      </x:c>
      <x:c r="AC177" s="38" t="str">
        <x:v>Media</x:v>
      </x:c>
      <x:c r="AD177" s="116" t="str">
        <x:v>2026-06-30</x:v>
      </x:c>
      <x:c r="AE177" s="38" t="str">
        <x:v>No</x:v>
      </x:c>
      <x:c r="AF177" s="38" t="str">
        <x:v>Comparativa orientativa: revisar ficha/medida antes de decidir proveedor.</x:v>
      </x:c>
    </x:row>
    <x:row r="178">
      <x:c r="A178" s="38" t="str">
        <x:v>MAT-0177</x:v>
      </x:c>
      <x:c r="B178" s="38" t="str">
        <x:v>Sí</x:v>
      </x:c>
      <x:c r="C178" s="38" t="str">
        <x:v>Tubería frigorífica</x:v>
      </x:c>
      <x:c r="D178" s="38" t="str">
        <x:v>Cobre frigorífico aislado</x:v>
      </x:c>
      <x:c r="E178" s="38" t="str">
        <x:v>Tubo Cobre Aisl 20 Mt</x:v>
      </x:c>
      <x:c r="F178" s="38" t="str">
        <x:v>TUBO COBRE AISL 20 MT</x:v>
      </x:c>
      <x:c r="G178" s="38" t="str">
        <x:v>BIPOL. 1/4+3/8</x:v>
      </x:c>
      <x:c r="H178" s="38" t="str">
        <x:v>Sánchez Arencibia, S.A.</x:v>
      </x:c>
      <x:c r="I178" s="38" t="str">
        <x:v>Factura F/233,933</x:v>
      </x:c>
      <x:c r="J178" s="115" t="str">
        <x:v>31/03/2026</x:v>
      </x:c>
      <x:c r="K178" s="38" t="str">
        <x:v>Albarán TF 535,403 (09/03/2026)</x:v>
      </x:c>
      <x:c r="L178" s="38" t="n">
        <x:v>5</x:v>
      </x:c>
      <x:c r="M178" s="38" t="str">
        <x:v>Rollo</x:v>
      </x:c>
      <x:c r="N178" s="38" t="n">
        <x:v>20</x:v>
      </x:c>
      <x:c r="O178" s="38" t="str">
        <x:v>Metro</x:v>
      </x:c>
      <x:c r="P178" s="99" t="n">
        <x:v>132.3</x:v>
      </x:c>
      <x:c r="Q178" s="114" t="n">
        <x:v>0.3</x:v>
      </x:c>
      <x:c r="R178" s="99" t="n">
        <x:v>463.05</x:v>
      </x:c>
      <x:c r="S178" s="99" t="n">
        <x:f>IFERROR(R178/L178,P178*(1-Q178))</x:f>
        <x:v>92.61</x:v>
      </x:c>
      <x:c r="T178" s="114" t="n">
        <x:v>0.07</x:v>
      </x:c>
      <x:c r="U178" s="99" t="n">
        <x:f>S178*(1+T178)</x:f>
        <x:v>99.09270000000001</x:v>
      </x:c>
      <x:c r="V178" s="99" t="n">
        <x:f>S178</x:f>
        <x:v>92.61</x:v>
      </x:c>
      <x:c r="W178" s="99" t="n">
        <x:f>V178-S178</x:f>
        <x:v>0</x:v>
      </x:c>
      <x:c r="X178" s="114" t="n">
        <x:f>IFERROR(W178/V178,0)</x:f>
        <x:v>0</x:v>
      </x:c>
      <x:c r="Y178" s="38" t="str">
        <x:v>Por rollo o metros proporcionales</x:v>
      </x:c>
      <x:c r="Z178" s="38" t="str">
        <x:f>IF(Y178="Botella / 3 instalaciones","Precio botella / 3",IF(Y178="Por rollo o metros proporcionales","Si se pasa rollo: rollo completo. Si se pasan metros: proporcional",Y178))</x:f>
        <x:v>Si se pasa rollo: rollo completo. Si se pasan metros: proporcional</x:v>
      </x:c>
      <x:c r="AA178" s="38" t="n">
        <x:v>20</x:v>
      </x:c>
      <x:c r="AB178" s="38" t="str"/>
      <x:c r="AC178" s="38" t="str"/>
      <x:c r="AD178" s="116" t="str">
        <x:v>2026-06-30</x:v>
      </x:c>
      <x:c r="AE178" s="38" t="str">
        <x:v>No</x:v>
      </x:c>
      <x:c r="AF178" s="38" t="str"/>
    </x:row>
    <x:row r="179">
      <x:c r="A179" s="38" t="str">
        <x:v>MAT-0178</x:v>
      </x:c>
      <x:c r="B179" s="38" t="str">
        <x:v>Sí</x:v>
      </x:c>
      <x:c r="C179" s="38" t="str">
        <x:v>Sin clasificar</x:v>
      </x:c>
      <x:c r="D179" s="38" t="str"/>
      <x:c r="E179" s="38" t="str">
        <x:v>Caja Preinst. Universal</x:v>
      </x:c>
      <x:c r="F179" s="38" t="str">
        <x:v>CAJA PREINST. UNIVERSAL</x:v>
      </x:c>
      <x:c r="G179" s="38" t="str">
        <x:v>9899-002-01</x:v>
      </x:c>
      <x:c r="H179" s="38" t="str">
        <x:v>Sánchez Arencibia, S.A.</x:v>
      </x:c>
      <x:c r="I179" s="38" t="str">
        <x:v>Factura F/233,933</x:v>
      </x:c>
      <x:c r="J179" s="115" t="str">
        <x:v>31/03/2026</x:v>
      </x:c>
      <x:c r="K179" s="38" t="str">
        <x:v>Albarán TF 535,403 (09/03/2026)</x:v>
      </x:c>
      <x:c r="L179" s="38" t="n">
        <x:v>6</x:v>
      </x:c>
      <x:c r="M179" s="38" t="str">
        <x:v>Unidad</x:v>
      </x:c>
      <x:c r="N179" s="38" t="n">
        <x:v>1</x:v>
      </x:c>
      <x:c r="O179" s="38" t="str">
        <x:v>Unidad</x:v>
      </x:c>
      <x:c r="P179" s="99" t="n">
        <x:v>8</x:v>
      </x:c>
      <x:c r="Q179" s="114" t="n">
        <x:v>0.4</x:v>
      </x:c>
      <x:c r="R179" s="99" t="n">
        <x:v>28.8</x:v>
      </x:c>
      <x:c r="S179" s="99" t="n">
        <x:f>IFERROR(R179/L179,P179*(1-Q179))</x:f>
        <x:v>4.8</x:v>
      </x:c>
      <x:c r="T179" s="114" t="n">
        <x:v>0.07</x:v>
      </x:c>
      <x:c r="U179" s="99" t="n">
        <x:f>S179*(1+T179)</x:f>
        <x:v>5.136</x:v>
      </x:c>
      <x:c r="V179" s="99" t="n">
        <x:f>S179</x:f>
        <x:v>4.8</x:v>
      </x:c>
      <x:c r="W179" s="99" t="n">
        <x:f>V179-S179</x:f>
        <x:v>0</x:v>
      </x:c>
      <x:c r="X179" s="114" t="n">
        <x:f>IFERROR(W179/V179,0)</x:f>
        <x:v>0</x:v>
      </x:c>
      <x:c r="Y179" s="38" t="str">
        <x:v>Por unidad</x:v>
      </x:c>
      <x:c r="Z179" s="38" t="str">
        <x:f>IF(Y179="Botella / 3 instalaciones","Precio botella / 3",IF(Y179="Por rollo o metros proporcionales","Si se pasa rollo: rollo completo. Si se pasan metros: proporcional",Y179))</x:f>
        <x:v>Por unidad</x:v>
      </x:c>
      <x:c r="AA179" s="38" t="n">
        <x:v>1</x:v>
      </x:c>
      <x:c r="AB179" s="38" t="str"/>
      <x:c r="AC179" s="38" t="str"/>
      <x:c r="AD179" s="116" t="str">
        <x:v>2026-06-30</x:v>
      </x:c>
      <x:c r="AE179" s="38" t="str">
        <x:v>Sí</x:v>
      </x:c>
      <x:c r="AF179" s="38" t="str">
        <x:v>Revisar categoría antes de usar en cálculo automático.</x:v>
      </x:c>
    </x:row>
    <x:row r="180">
      <x:c r="A180" s="38" t="str">
        <x:v>MAT-0179</x:v>
      </x:c>
      <x:c r="B180" s="38" t="str">
        <x:v>Sí</x:v>
      </x:c>
      <x:c r="C180" s="38" t="str">
        <x:v>Canaleta</x:v>
      </x:c>
      <x:c r="D180" s="38" t="str">
        <x:v>Canaleta tramo</x:v>
      </x:c>
      <x:c r="E180" s="38" t="str">
        <x:v>Canaleta 125X75 2 Mts.</x:v>
      </x:c>
      <x:c r="F180" s="38" t="str">
        <x:v>CANALETA 125X75 2 MTS.</x:v>
      </x:c>
      <x:c r="G180" s="38" t="str">
        <x:v>9803-001-08F</x:v>
      </x:c>
      <x:c r="H180" s="38" t="str">
        <x:v>Sánchez Arencibia, S.A.</x:v>
      </x:c>
      <x:c r="I180" s="38" t="str">
        <x:v>Factura F/233,933</x:v>
      </x:c>
      <x:c r="J180" s="115" t="str">
        <x:v>31/03/2026</x:v>
      </x:c>
      <x:c r="K180" s="38" t="str">
        <x:v>Albarán TF 535,784 (17/03/2026)</x:v>
      </x:c>
      <x:c r="L180" s="38" t="n">
        <x:v>3</x:v>
      </x:c>
      <x:c r="M180" s="38" t="str">
        <x:v>Metro</x:v>
      </x:c>
      <x:c r="N180" s="38" t="n">
        <x:v>1</x:v>
      </x:c>
      <x:c r="O180" s="38" t="str">
        <x:v>Metro</x:v>
      </x:c>
      <x:c r="P180" s="99" t="n">
        <x:v>20.68</x:v>
      </x:c>
      <x:c r="Q180" s="114" t="n">
        <x:v>0.4</x:v>
      </x:c>
      <x:c r="R180" s="99" t="n">
        <x:v>37.22</x:v>
      </x:c>
      <x:c r="S180" s="99" t="n">
        <x:f>IFERROR(R180/L180,P180*(1-Q180))</x:f>
        <x:v>12.406666666666666</x:v>
      </x:c>
      <x:c r="T180" s="114" t="n">
        <x:v>0.07</x:v>
      </x:c>
      <x:c r="U180" s="99" t="n">
        <x:f>S180*(1+T180)</x:f>
        <x:v>13.275133333333335</x:v>
      </x:c>
      <x:c r="V180" s="99" t="n">
        <x:f>S180</x:f>
        <x:v>12.406666666666666</x:v>
      </x:c>
      <x:c r="W180" s="99" t="n">
        <x:f>V180-S180</x:f>
        <x:v>0</x:v>
      </x:c>
      <x:c r="X180" s="114" t="n">
        <x:f>IFERROR(W180/V180,0)</x:f>
        <x:v>0</x:v>
      </x:c>
      <x:c r="Y180" s="38" t="str">
        <x:v>Por metros</x:v>
      </x:c>
      <x:c r="Z180" s="38" t="str">
        <x:f>IF(Y180="Botella / 3 instalaciones","Precio botella / 3",IF(Y180="Por rollo o metros proporcionales","Si se pasa rollo: rollo completo. Si se pasan metros: proporcional",Y180))</x:f>
        <x:v>Por metros</x:v>
      </x:c>
      <x:c r="AA180" s="38" t="n">
        <x:v>1</x:v>
      </x:c>
      <x:c r="AB180" s="38" t="str"/>
      <x:c r="AC180" s="38" t="str"/>
      <x:c r="AD180" s="116" t="str">
        <x:v>2026-06-30</x:v>
      </x:c>
      <x:c r="AE180" s="38" t="str">
        <x:v>No</x:v>
      </x:c>
      <x:c r="AF180" s="38" t="str"/>
    </x:row>
    <x:row r="181">
      <x:c r="A181" s="38" t="str">
        <x:v>MAT-0180</x:v>
      </x:c>
      <x:c r="B181" s="38" t="str">
        <x:v>Sí</x:v>
      </x:c>
      <x:c r="C181" s="38" t="str">
        <x:v>Canaleta</x:v>
      </x:c>
      <x:c r="D181" s="38" t="str">
        <x:v>Canaleta tramo</x:v>
      </x:c>
      <x:c r="E181" s="38" t="str">
        <x:v>Canaleta 30X35 2 Mts.</x:v>
      </x:c>
      <x:c r="F181" s="38" t="str">
        <x:v>CANALETA 30X35 2 MTS.</x:v>
      </x:c>
      <x:c r="G181" s="38" t="str">
        <x:v>9810-001-08F</x:v>
      </x:c>
      <x:c r="H181" s="38" t="str">
        <x:v>Sánchez Arencibia, S.A.</x:v>
      </x:c>
      <x:c r="I181" s="38" t="str">
        <x:v>Factura F/233,933</x:v>
      </x:c>
      <x:c r="J181" s="115" t="str">
        <x:v>31/03/2026</x:v>
      </x:c>
      <x:c r="K181" s="38" t="str">
        <x:v>Albarán TF 535,784 (17/03/2026)</x:v>
      </x:c>
      <x:c r="L181" s="38" t="n">
        <x:v>2</x:v>
      </x:c>
      <x:c r="M181" s="38" t="str">
        <x:v>Metro</x:v>
      </x:c>
      <x:c r="N181" s="38" t="n">
        <x:v>1</x:v>
      </x:c>
      <x:c r="O181" s="38" t="str">
        <x:v>Metro</x:v>
      </x:c>
      <x:c r="P181" s="99" t="n">
        <x:v>4.19</x:v>
      </x:c>
      <x:c r="Q181" s="114" t="n">
        <x:v>0.4</x:v>
      </x:c>
      <x:c r="R181" s="99" t="n">
        <x:v>5.03</x:v>
      </x:c>
      <x:c r="S181" s="99" t="n">
        <x:f>IFERROR(R181/L181,P181*(1-Q181))</x:f>
        <x:v>2.515</x:v>
      </x:c>
      <x:c r="T181" s="114" t="n">
        <x:v>0.07</x:v>
      </x:c>
      <x:c r="U181" s="99" t="n">
        <x:f>S181*(1+T181)</x:f>
        <x:v>2.69105</x:v>
      </x:c>
      <x:c r="V181" s="99" t="n">
        <x:f>S181</x:f>
        <x:v>2.515</x:v>
      </x:c>
      <x:c r="W181" s="99" t="n">
        <x:f>V181-S181</x:f>
        <x:v>0</x:v>
      </x:c>
      <x:c r="X181" s="114" t="n">
        <x:f>IFERROR(W181/V181,0)</x:f>
        <x:v>0</x:v>
      </x:c>
      <x:c r="Y181" s="38" t="str">
        <x:v>Por metros</x:v>
      </x:c>
      <x:c r="Z181" s="38" t="str">
        <x:f>IF(Y181="Botella / 3 instalaciones","Precio botella / 3",IF(Y181="Por rollo o metros proporcionales","Si se pasa rollo: rollo completo. Si se pasan metros: proporcional",Y181))</x:f>
        <x:v>Por metros</x:v>
      </x:c>
      <x:c r="AA181" s="38" t="n">
        <x:v>1</x:v>
      </x:c>
      <x:c r="AB181" s="38" t="str"/>
      <x:c r="AC181" s="38" t="str"/>
      <x:c r="AD181" s="116" t="str">
        <x:v>2026-06-30</x:v>
      </x:c>
      <x:c r="AE181" s="38" t="str">
        <x:v>No</x:v>
      </x:c>
      <x:c r="AF181" s="38" t="str"/>
    </x:row>
    <x:row r="182">
      <x:c r="A182" s="38" t="str">
        <x:v>MAT-0181</x:v>
      </x:c>
      <x:c r="B182" s="38" t="str">
        <x:v>Sí</x:v>
      </x:c>
      <x:c r="C182" s="38" t="str">
        <x:v>Soportes y fijaciones</x:v>
      </x:c>
      <x:c r="D182" s="38" t="str">
        <x:v>Soportes/amortiguadores</x:v>
      </x:c>
      <x:c r="E182" s="38" t="str">
        <x:v>Soporte Poliamida 450 Mm</x:v>
      </x:c>
      <x:c r="F182" s="38" t="str">
        <x:v>SOPORTE POLIAMIDA 450 MM</x:v>
      </x:c>
      <x:c r="G182" s="38" t="str">
        <x:v>1801-4500</x:v>
      </x:c>
      <x:c r="H182" s="38" t="str">
        <x:v>Sánchez Arencibia, S.A.</x:v>
      </x:c>
      <x:c r="I182" s="38" t="str">
        <x:v>Factura F/233,933</x:v>
      </x:c>
      <x:c r="J182" s="115" t="str">
        <x:v>31/03/2026</x:v>
      </x:c>
      <x:c r="K182" s="38" t="str">
        <x:v>Albarán TF 535,801 (17/03/2026)</x:v>
      </x:c>
      <x:c r="L182" s="38" t="n">
        <x:v>4</x:v>
      </x:c>
      <x:c r="M182" s="38" t="str">
        <x:v>Unidad</x:v>
      </x:c>
      <x:c r="N182" s="38" t="n">
        <x:v>1</x:v>
      </x:c>
      <x:c r="O182" s="38" t="str">
        <x:v>Unidad</x:v>
      </x:c>
      <x:c r="P182" s="99" t="n">
        <x:v>27.8</x:v>
      </x:c>
      <x:c r="Q182" s="114" t="n">
        <x:v>0.4</x:v>
      </x:c>
      <x:c r="R182" s="99" t="n">
        <x:v>66.72</x:v>
      </x:c>
      <x:c r="S182" s="99" t="n">
        <x:f>IFERROR(R182/L182,P182*(1-Q182))</x:f>
        <x:v>16.68</x:v>
      </x:c>
      <x:c r="T182" s="114" t="n">
        <x:v>0.07</x:v>
      </x:c>
      <x:c r="U182" s="99" t="n">
        <x:f>S182*(1+T182)</x:f>
        <x:v>17.8476</x:v>
      </x:c>
      <x:c r="V182" s="99" t="n">
        <x:f>S182</x:f>
        <x:v>16.68</x:v>
      </x:c>
      <x:c r="W182" s="99" t="n">
        <x:f>V182-S182</x:f>
        <x:v>0</x:v>
      </x:c>
      <x:c r="X182" s="114" t="n">
        <x:f>IFERROR(W182/V182,0)</x:f>
        <x:v>0</x:v>
      </x:c>
      <x:c r="Y182" s="38" t="str">
        <x:v>Por unidad</x:v>
      </x:c>
      <x:c r="Z182" s="38" t="str">
        <x:f>IF(Y182="Botella / 3 instalaciones","Precio botella / 3",IF(Y182="Por rollo o metros proporcionales","Si se pasa rollo: rollo completo. Si se pasan metros: proporcional",Y182))</x:f>
        <x:v>Por unidad</x:v>
      </x:c>
      <x:c r="AA182" s="38" t="n">
        <x:v>1</x:v>
      </x:c>
      <x:c r="AB182" s="38" t="str"/>
      <x:c r="AC182" s="38" t="str"/>
      <x:c r="AD182" s="116" t="str">
        <x:v>2026-06-30</x:v>
      </x:c>
      <x:c r="AE182" s="38" t="str">
        <x:v>No</x:v>
      </x:c>
      <x:c r="AF182" s="38" t="str"/>
    </x:row>
    <x:row r="183">
      <x:c r="A183" s="38" t="str">
        <x:v>MAT-0182</x:v>
      </x:c>
      <x:c r="B183" s="38" t="str">
        <x:v>Sí</x:v>
      </x:c>
      <x:c r="C183" s="38" t="str">
        <x:v>Soportes y fijaciones</x:v>
      </x:c>
      <x:c r="D183" s="38" t="str">
        <x:v>Soportes/amortiguadores</x:v>
      </x:c>
      <x:c r="E183" s="38" t="str">
        <x:v>Juego Amortiguadores (4)</x:v>
      </x:c>
      <x:c r="F183" s="38" t="str">
        <x:v>JUEGO AMORTIGUADORES (4)</x:v>
      </x:c>
      <x:c r="G183" s="38" t="str">
        <x:v>AG-35 V1 INST.</x:v>
      </x:c>
      <x:c r="H183" s="38" t="str">
        <x:v>Sánchez Arencibia, S.A.</x:v>
      </x:c>
      <x:c r="I183" s="38" t="str">
        <x:v>Factura F/233,933</x:v>
      </x:c>
      <x:c r="J183" s="115" t="str">
        <x:v>31/03/2026</x:v>
      </x:c>
      <x:c r="K183" s="38" t="str">
        <x:v>Albarán TF 535,801 (17/03/2026)</x:v>
      </x:c>
      <x:c r="L183" s="38" t="n">
        <x:v>4</x:v>
      </x:c>
      <x:c r="M183" s="38" t="str">
        <x:v>Unidad</x:v>
      </x:c>
      <x:c r="N183" s="38" t="n">
        <x:v>1</x:v>
      </x:c>
      <x:c r="O183" s="38" t="str">
        <x:v>Unidad</x:v>
      </x:c>
      <x:c r="P183" s="99" t="n">
        <x:v>2</x:v>
      </x:c>
      <x:c r="Q183" s="114" t="n">
        <x:v>0.4</x:v>
      </x:c>
      <x:c r="R183" s="99" t="n">
        <x:v>4.8</x:v>
      </x:c>
      <x:c r="S183" s="99" t="n">
        <x:f>IFERROR(R183/L183,P183*(1-Q183))</x:f>
        <x:v>1.2</x:v>
      </x:c>
      <x:c r="T183" s="114" t="n">
        <x:v>0.07</x:v>
      </x:c>
      <x:c r="U183" s="99" t="n">
        <x:f>S183*(1+T183)</x:f>
        <x:v>1.284</x:v>
      </x:c>
      <x:c r="V183" s="99" t="n">
        <x:f>S183</x:f>
        <x:v>1.2</x:v>
      </x:c>
      <x:c r="W183" s="99" t="n">
        <x:f>V183-S183</x:f>
        <x:v>0</x:v>
      </x:c>
      <x:c r="X183" s="114" t="n">
        <x:f>IFERROR(W183/V183,0)</x:f>
        <x:v>0</x:v>
      </x:c>
      <x:c r="Y183" s="38" t="str">
        <x:v>Por unidad</x:v>
      </x:c>
      <x:c r="Z183" s="38" t="str">
        <x:f>IF(Y183="Botella / 3 instalaciones","Precio botella / 3",IF(Y183="Por rollo o metros proporcionales","Si se pasa rollo: rollo completo. Si se pasan metros: proporcional",Y183))</x:f>
        <x:v>Por unidad</x:v>
      </x:c>
      <x:c r="AA183" s="38" t="n">
        <x:v>1</x:v>
      </x:c>
      <x:c r="AB183" s="38" t="str">
        <x:v>Sánchez Arencibia, S.A.</x:v>
      </x:c>
      <x:c r="AC183" s="38" t="str">
        <x:v>Media-Baja</x:v>
      </x:c>
      <x:c r="AD183" s="116" t="str">
        <x:v>2026-06-30</x:v>
      </x:c>
      <x:c r="AE183" s="38" t="str">
        <x:v>No</x:v>
      </x:c>
      <x:c r="AF183" s="38" t="str">
        <x:v>Comparativa orientativa: revisar ficha/medida antes de decidir proveedor.</x:v>
      </x:c>
    </x:row>
    <x:row r="184">
      <x:c r="A184" s="38" t="str">
        <x:v>MAT-0183</x:v>
      </x:c>
      <x:c r="B184" s="38" t="str">
        <x:v>Sí</x:v>
      </x:c>
      <x:c r="C184" s="38" t="str">
        <x:v>Soportes y fijaciones</x:v>
      </x:c>
      <x:c r="D184" s="38" t="str">
        <x:v>Soportes/amortiguadores</x:v>
      </x:c>
      <x:c r="E184" s="38" t="str">
        <x:v>Juego Amortiguadores (4)</x:v>
      </x:c>
      <x:c r="F184" s="38" t="str">
        <x:v>JUEGO AMORTIGUADORES (4)</x:v>
      </x:c>
      <x:c r="G184" s="38" t="str">
        <x:v>SG-60 AIRPACK</x:v>
      </x:c>
      <x:c r="H184" s="38" t="str">
        <x:v>Sánchez Arencibia, S.A.</x:v>
      </x:c>
      <x:c r="I184" s="38" t="str">
        <x:v>Factura F/233,933</x:v>
      </x:c>
      <x:c r="J184" s="115" t="str">
        <x:v>31/03/2026</x:v>
      </x:c>
      <x:c r="K184" s="38" t="str">
        <x:v>Albarán TF 535,878 (19/03/2026)</x:v>
      </x:c>
      <x:c r="L184" s="38" t="n">
        <x:v>1</x:v>
      </x:c>
      <x:c r="M184" s="38" t="str">
        <x:v>Unidad</x:v>
      </x:c>
      <x:c r="N184" s="38" t="n">
        <x:v>1</x:v>
      </x:c>
      <x:c r="O184" s="38" t="str">
        <x:v>Unidad</x:v>
      </x:c>
      <x:c r="P184" s="99" t="n">
        <x:v>5.02</x:v>
      </x:c>
      <x:c r="Q184" s="114" t="n">
        <x:v>0.4</x:v>
      </x:c>
      <x:c r="R184" s="99" t="n">
        <x:v>3.01</x:v>
      </x:c>
      <x:c r="S184" s="99" t="n">
        <x:f>IFERROR(R184/L184,P184*(1-Q184))</x:f>
        <x:v>3.01</x:v>
      </x:c>
      <x:c r="T184" s="114" t="n">
        <x:v>0.07</x:v>
      </x:c>
      <x:c r="U184" s="99" t="n">
        <x:f>S184*(1+T184)</x:f>
        <x:v>3.2207</x:v>
      </x:c>
      <x:c r="V184" s="99" t="n">
        <x:f>S184</x:f>
        <x:v>3.01</x:v>
      </x:c>
      <x:c r="W184" s="99" t="n">
        <x:f>V184-S184</x:f>
        <x:v>0</x:v>
      </x:c>
      <x:c r="X184" s="114" t="n">
        <x:f>IFERROR(W184/V184,0)</x:f>
        <x:v>0</x:v>
      </x:c>
      <x:c r="Y184" s="38" t="str">
        <x:v>Por unidad</x:v>
      </x:c>
      <x:c r="Z184" s="38" t="str">
        <x:f>IF(Y184="Botella / 3 instalaciones","Precio botella / 3",IF(Y184="Por rollo o metros proporcionales","Si se pasa rollo: rollo completo. Si se pasan metros: proporcional",Y184))</x:f>
        <x:v>Por unidad</x:v>
      </x:c>
      <x:c r="AA184" s="38" t="n">
        <x:v>1</x:v>
      </x:c>
      <x:c r="AB184" s="38" t="str">
        <x:v>Sánchez Arencibia, S.A.</x:v>
      </x:c>
      <x:c r="AC184" s="38" t="str">
        <x:v>Media-Baja</x:v>
      </x:c>
      <x:c r="AD184" s="116" t="str">
        <x:v>2026-06-30</x:v>
      </x:c>
      <x:c r="AE184" s="38" t="str">
        <x:v>No</x:v>
      </x:c>
      <x:c r="AF184" s="38" t="str">
        <x:v>Comparativa orientativa: revisar ficha/medida antes de decidir proveedor.</x:v>
      </x:c>
    </x:row>
    <x:row r="185">
      <x:c r="A185" s="38" t="str">
        <x:v>MAT-0184</x:v>
      </x:c>
      <x:c r="B185" s="38" t="str">
        <x:v>Sí</x:v>
      </x:c>
      <x:c r="C185" s="38" t="str">
        <x:v>Canaleta</x:v>
      </x:c>
      <x:c r="D185" s="38" t="str">
        <x:v>Canaleta tramo</x:v>
      </x:c>
      <x:c r="E185" s="38" t="str">
        <x:v>Canaleta 65X50 2 Mts.</x:v>
      </x:c>
      <x:c r="F185" s="38" t="str">
        <x:v>CANALETA 65X50 2 MTS.</x:v>
      </x:c>
      <x:c r="G185" s="38" t="str">
        <x:v>9801-001-08F</x:v>
      </x:c>
      <x:c r="H185" s="38" t="str">
        <x:v>Sánchez Arencibia, S.A.</x:v>
      </x:c>
      <x:c r="I185" s="38" t="str">
        <x:v>Factura F/233,933</x:v>
      </x:c>
      <x:c r="J185" s="115" t="str">
        <x:v>31/03/2026</x:v>
      </x:c>
      <x:c r="K185" s="38" t="str">
        <x:v>Albarán TF 535,977 (23/03/2026)</x:v>
      </x:c>
      <x:c r="L185" s="38" t="n">
        <x:v>2</x:v>
      </x:c>
      <x:c r="M185" s="38" t="str">
        <x:v>Metro</x:v>
      </x:c>
      <x:c r="N185" s="38" t="n">
        <x:v>1</x:v>
      </x:c>
      <x:c r="O185" s="38" t="str">
        <x:v>Metro</x:v>
      </x:c>
      <x:c r="P185" s="99" t="n">
        <x:v>8.67</x:v>
      </x:c>
      <x:c r="Q185" s="114" t="n">
        <x:v>0.4</x:v>
      </x:c>
      <x:c r="R185" s="99" t="n">
        <x:v>10.4</x:v>
      </x:c>
      <x:c r="S185" s="99" t="n">
        <x:f>IFERROR(R185/L185,P185*(1-Q185))</x:f>
        <x:v>5.2</x:v>
      </x:c>
      <x:c r="T185" s="114" t="n">
        <x:v>0.07</x:v>
      </x:c>
      <x:c r="U185" s="99" t="n">
        <x:f>S185*(1+T185)</x:f>
        <x:v>5.564000000000001</x:v>
      </x:c>
      <x:c r="V185" s="99" t="n">
        <x:f>S185</x:f>
        <x:v>5.2</x:v>
      </x:c>
      <x:c r="W185" s="99" t="n">
        <x:f>V185-S185</x:f>
        <x:v>0</x:v>
      </x:c>
      <x:c r="X185" s="114" t="n">
        <x:f>IFERROR(W185/V185,0)</x:f>
        <x:v>0</x:v>
      </x:c>
      <x:c r="Y185" s="38" t="str">
        <x:v>Por metros</x:v>
      </x:c>
      <x:c r="Z185" s="38" t="str">
        <x:f>IF(Y185="Botella / 3 instalaciones","Precio botella / 3",IF(Y185="Por rollo o metros proporcionales","Si se pasa rollo: rollo completo. Si se pasan metros: proporcional",Y185))</x:f>
        <x:v>Por metros</x:v>
      </x:c>
      <x:c r="AA185" s="38" t="n">
        <x:v>1</x:v>
      </x:c>
      <x:c r="AB185" s="38" t="str"/>
      <x:c r="AC185" s="38" t="str"/>
      <x:c r="AD185" s="116" t="str">
        <x:v>2026-06-30</x:v>
      </x:c>
      <x:c r="AE185" s="38" t="str">
        <x:v>No</x:v>
      </x:c>
      <x:c r="AF185" s="38" t="str"/>
    </x:row>
    <x:row r="186">
      <x:c r="A186" s="38" t="str">
        <x:v>MAT-0185</x:v>
      </x:c>
      <x:c r="B186" s="38" t="str">
        <x:v>Sí</x:v>
      </x:c>
      <x:c r="C186" s="38" t="str">
        <x:v>Sin clasificar</x:v>
      </x:c>
      <x:c r="D186" s="38" t="str"/>
      <x:c r="E186" s="38" t="str">
        <x:v>Curva Plana 65X50</x:v>
      </x:c>
      <x:c r="F186" s="38" t="str">
        <x:v>CURVA PLANA 65X50</x:v>
      </x:c>
      <x:c r="G186" s="38" t="str">
        <x:v>9801-115-08</x:v>
      </x:c>
      <x:c r="H186" s="38" t="str">
        <x:v>Sánchez Arencibia, S.A.</x:v>
      </x:c>
      <x:c r="I186" s="38" t="str">
        <x:v>Factura F/233,933</x:v>
      </x:c>
      <x:c r="J186" s="115" t="str">
        <x:v>31/03/2026</x:v>
      </x:c>
      <x:c r="K186" s="38" t="str">
        <x:v>Albarán TF 535,977 (23/03/2026)</x:v>
      </x:c>
      <x:c r="L186" s="38" t="n">
        <x:v>2</x:v>
      </x:c>
      <x:c r="M186" s="38" t="str">
        <x:v>Unidad</x:v>
      </x:c>
      <x:c r="N186" s="38" t="n">
        <x:v>1</x:v>
      </x:c>
      <x:c r="O186" s="38" t="str">
        <x:v>Unidad</x:v>
      </x:c>
      <x:c r="P186" s="99" t="n">
        <x:v>3.34</x:v>
      </x:c>
      <x:c r="Q186" s="114" t="n">
        <x:v>0.4</x:v>
      </x:c>
      <x:c r="R186" s="99" t="n">
        <x:v>4.01</x:v>
      </x:c>
      <x:c r="S186" s="99" t="n">
        <x:f>IFERROR(R186/L186,P186*(1-Q186))</x:f>
        <x:v>2.005</x:v>
      </x:c>
      <x:c r="T186" s="114" t="n">
        <x:v>0.07</x:v>
      </x:c>
      <x:c r="U186" s="99" t="n">
        <x:f>S186*(1+T186)</x:f>
        <x:v>2.14535</x:v>
      </x:c>
      <x:c r="V186" s="99" t="n">
        <x:f>S186</x:f>
        <x:v>2.005</x:v>
      </x:c>
      <x:c r="W186" s="99" t="n">
        <x:f>V186-S186</x:f>
        <x:v>0</x:v>
      </x:c>
      <x:c r="X186" s="114" t="n">
        <x:f>IFERROR(W186/V186,0)</x:f>
        <x:v>0</x:v>
      </x:c>
      <x:c r="Y186" s="38" t="str">
        <x:v>Por unidad</x:v>
      </x:c>
      <x:c r="Z186" s="38" t="str">
        <x:f>IF(Y186="Botella / 3 instalaciones","Precio botella / 3",IF(Y186="Por rollo o metros proporcionales","Si se pasa rollo: rollo completo. Si se pasan metros: proporcional",Y186))</x:f>
        <x:v>Por unidad</x:v>
      </x:c>
      <x:c r="AA186" s="38" t="n">
        <x:v>1</x:v>
      </x:c>
      <x:c r="AB186" s="38" t="str"/>
      <x:c r="AC186" s="38" t="str"/>
      <x:c r="AD186" s="116" t="str">
        <x:v>2026-06-30</x:v>
      </x:c>
      <x:c r="AE186" s="38" t="str">
        <x:v>Sí</x:v>
      </x:c>
      <x:c r="AF186" s="38" t="str">
        <x:v>Revisar categoría antes de usar en cálculo automático.</x:v>
      </x:c>
    </x:row>
    <x:row r="187">
      <x:c r="A187" s="38" t="str">
        <x:v>MAT-0186</x:v>
      </x:c>
      <x:c r="B187" s="38" t="str">
        <x:v>Sí</x:v>
      </x:c>
      <x:c r="C187" s="38" t="str">
        <x:v>Sin clasificar</x:v>
      </x:c>
      <x:c r="D187" s="38" t="str"/>
      <x:c r="E187" s="38" t="str">
        <x:v>Tapon Terminal 65X50</x:v>
      </x:c>
      <x:c r="F187" s="38" t="str">
        <x:v>TAPON TERMINAL 65X50</x:v>
      </x:c>
      <x:c r="G187" s="38" t="str">
        <x:v>9801-114-08</x:v>
      </x:c>
      <x:c r="H187" s="38" t="str">
        <x:v>Sánchez Arencibia, S.A.</x:v>
      </x:c>
      <x:c r="I187" s="38" t="str">
        <x:v>Factura F/233,933</x:v>
      </x:c>
      <x:c r="J187" s="115" t="str">
        <x:v>31/03/2026</x:v>
      </x:c>
      <x:c r="K187" s="38" t="str">
        <x:v>Albarán TF 535,977 (23/03/2026)</x:v>
      </x:c>
      <x:c r="L187" s="38" t="n">
        <x:v>1</x:v>
      </x:c>
      <x:c r="M187" s="38" t="str">
        <x:v>Unidad</x:v>
      </x:c>
      <x:c r="N187" s="38" t="n">
        <x:v>1</x:v>
      </x:c>
      <x:c r="O187" s="38" t="str">
        <x:v>Unidad</x:v>
      </x:c>
      <x:c r="P187" s="99" t="n">
        <x:v>2.81</x:v>
      </x:c>
      <x:c r="Q187" s="114" t="n">
        <x:v>0.4</x:v>
      </x:c>
      <x:c r="R187" s="99" t="n">
        <x:v>1.69</x:v>
      </x:c>
      <x:c r="S187" s="99" t="n">
        <x:f>IFERROR(R187/L187,P187*(1-Q187))</x:f>
        <x:v>1.69</x:v>
      </x:c>
      <x:c r="T187" s="114" t="n">
        <x:v>0.07</x:v>
      </x:c>
      <x:c r="U187" s="99" t="n">
        <x:f>S187*(1+T187)</x:f>
        <x:v>1.8083</x:v>
      </x:c>
      <x:c r="V187" s="99" t="n">
        <x:f>S187</x:f>
        <x:v>1.69</x:v>
      </x:c>
      <x:c r="W187" s="99" t="n">
        <x:f>V187-S187</x:f>
        <x:v>0</x:v>
      </x:c>
      <x:c r="X187" s="114" t="n">
        <x:f>IFERROR(W187/V187,0)</x:f>
        <x:v>0</x:v>
      </x:c>
      <x:c r="Y187" s="38" t="str">
        <x:v>Por unidad</x:v>
      </x:c>
      <x:c r="Z187" s="38" t="str">
        <x:f>IF(Y187="Botella / 3 instalaciones","Precio botella / 3",IF(Y187="Por rollo o metros proporcionales","Si se pasa rollo: rollo completo. Si se pasan metros: proporcional",Y187))</x:f>
        <x:v>Por unidad</x:v>
      </x:c>
      <x:c r="AA187" s="38" t="n">
        <x:v>1</x:v>
      </x:c>
      <x:c r="AB187" s="38" t="str"/>
      <x:c r="AC187" s="38" t="str"/>
      <x:c r="AD187" s="116" t="str">
        <x:v>2026-06-30</x:v>
      </x:c>
      <x:c r="AE187" s="38" t="str">
        <x:v>Sí</x:v>
      </x:c>
      <x:c r="AF187" s="38" t="str">
        <x:v>Revisar categoría antes de usar en cálculo automático.</x:v>
      </x:c>
    </x:row>
    <x:row r="188">
      <x:c r="A188" s="38" t="str">
        <x:v>MAT-0187</x:v>
      </x:c>
      <x:c r="B188" s="38" t="str">
        <x:v>Sí</x:v>
      </x:c>
      <x:c r="C188" s="38" t="str">
        <x:v>Sin clasificar</x:v>
      </x:c>
      <x:c r="D188" s="38" t="str"/>
      <x:c r="E188" s="38" t="str">
        <x:v>Angulo Externo 90X65</x:v>
      </x:c>
      <x:c r="F188" s="38" t="str">
        <x:v>ANGULO EXTERNO 90X65</x:v>
      </x:c>
      <x:c r="G188" s="38" t="str">
        <x:v>9802-113-08</x:v>
      </x:c>
      <x:c r="H188" s="38" t="str">
        <x:v>Sánchez Arencibia, S.A.</x:v>
      </x:c>
      <x:c r="I188" s="38" t="str">
        <x:v>Factura F/233,933</x:v>
      </x:c>
      <x:c r="J188" s="115" t="str">
        <x:v>31/03/2026</x:v>
      </x:c>
      <x:c r="K188" s="38" t="str">
        <x:v>Albarán TF 535,977 (23/03/2026)</x:v>
      </x:c>
      <x:c r="L188" s="38" t="n">
        <x:v>4</x:v>
      </x:c>
      <x:c r="M188" s="38" t="str">
        <x:v>Unidad</x:v>
      </x:c>
      <x:c r="N188" s="38" t="n">
        <x:v>1</x:v>
      </x:c>
      <x:c r="O188" s="38" t="str">
        <x:v>Unidad</x:v>
      </x:c>
      <x:c r="P188" s="99" t="n">
        <x:v>4</x:v>
      </x:c>
      <x:c r="Q188" s="114" t="n">
        <x:v>0.4</x:v>
      </x:c>
      <x:c r="R188" s="99" t="n">
        <x:v>9.6</x:v>
      </x:c>
      <x:c r="S188" s="99" t="n">
        <x:f>IFERROR(R188/L188,P188*(1-Q188))</x:f>
        <x:v>2.4</x:v>
      </x:c>
      <x:c r="T188" s="114" t="n">
        <x:v>0.07</x:v>
      </x:c>
      <x:c r="U188" s="99" t="n">
        <x:f>S188*(1+T188)</x:f>
        <x:v>2.568</x:v>
      </x:c>
      <x:c r="V188" s="99" t="n">
        <x:f>S188</x:f>
        <x:v>2.4</x:v>
      </x:c>
      <x:c r="W188" s="99" t="n">
        <x:f>V188-S188</x:f>
        <x:v>0</x:v>
      </x:c>
      <x:c r="X188" s="114" t="n">
        <x:f>IFERROR(W188/V188,0)</x:f>
        <x:v>0</x:v>
      </x:c>
      <x:c r="Y188" s="38" t="str">
        <x:v>Por unidad</x:v>
      </x:c>
      <x:c r="Z188" s="38" t="str">
        <x:f>IF(Y188="Botella / 3 instalaciones","Precio botella / 3",IF(Y188="Por rollo o metros proporcionales","Si se pasa rollo: rollo completo. Si se pasan metros: proporcional",Y188))</x:f>
        <x:v>Por unidad</x:v>
      </x:c>
      <x:c r="AA188" s="38" t="n">
        <x:v>1</x:v>
      </x:c>
      <x:c r="AB188" s="38" t="str"/>
      <x:c r="AC188" s="38" t="str"/>
      <x:c r="AD188" s="116" t="str">
        <x:v>2026-06-30</x:v>
      </x:c>
      <x:c r="AE188" s="38" t="str">
        <x:v>Sí</x:v>
      </x:c>
      <x:c r="AF188" s="38" t="str">
        <x:v>Revisar categoría antes de usar en cálculo automático.</x:v>
      </x:c>
    </x:row>
    <x:row r="189">
      <x:c r="A189" s="38" t="str">
        <x:v>MAT-0188</x:v>
      </x:c>
      <x:c r="B189" s="38" t="str">
        <x:v>Sí</x:v>
      </x:c>
      <x:c r="C189" s="38" t="str">
        <x:v>Canaleta</x:v>
      </x:c>
      <x:c r="D189" s="38" t="str">
        <x:v>Canaleta tramo</x:v>
      </x:c>
      <x:c r="E189" s="38" t="str">
        <x:v>Canaleta 65X50 2 Mts.</x:v>
      </x:c>
      <x:c r="F189" s="38" t="str">
        <x:v>CANALETA 65X50 2 MTS.</x:v>
      </x:c>
      <x:c r="G189" s="38" t="str">
        <x:v>9801-001-08F</x:v>
      </x:c>
      <x:c r="H189" s="38" t="str">
        <x:v>Sánchez Arencibia, S.A.</x:v>
      </x:c>
      <x:c r="I189" s="38" t="str">
        <x:v>Factura F/233,933</x:v>
      </x:c>
      <x:c r="J189" s="115" t="str">
        <x:v>31/03/2026</x:v>
      </x:c>
      <x:c r="K189" s="38" t="str">
        <x:v>Albarán TF 536,022 (23/03/2026)</x:v>
      </x:c>
      <x:c r="L189" s="38" t="n">
        <x:v>4</x:v>
      </x:c>
      <x:c r="M189" s="38" t="str">
        <x:v>Metro</x:v>
      </x:c>
      <x:c r="N189" s="38" t="n">
        <x:v>1</x:v>
      </x:c>
      <x:c r="O189" s="38" t="str">
        <x:v>Metro</x:v>
      </x:c>
      <x:c r="P189" s="99" t="n">
        <x:v>8.67</x:v>
      </x:c>
      <x:c r="Q189" s="114" t="n">
        <x:v>0.4</x:v>
      </x:c>
      <x:c r="R189" s="99" t="n">
        <x:v>20.81</x:v>
      </x:c>
      <x:c r="S189" s="99" t="n">
        <x:f>IFERROR(R189/L189,P189*(1-Q189))</x:f>
        <x:v>5.2025</x:v>
      </x:c>
      <x:c r="T189" s="114" t="n">
        <x:v>0.07</x:v>
      </x:c>
      <x:c r="U189" s="99" t="n">
        <x:f>S189*(1+T189)</x:f>
        <x:v>5.566675</x:v>
      </x:c>
      <x:c r="V189" s="99" t="n">
        <x:f>S189</x:f>
        <x:v>5.2025</x:v>
      </x:c>
      <x:c r="W189" s="99" t="n">
        <x:f>V189-S189</x:f>
        <x:v>0</x:v>
      </x:c>
      <x:c r="X189" s="114" t="n">
        <x:f>IFERROR(W189/V189,0)</x:f>
        <x:v>0</x:v>
      </x:c>
      <x:c r="Y189" s="38" t="str">
        <x:v>Por metros</x:v>
      </x:c>
      <x:c r="Z189" s="38" t="str">
        <x:f>IF(Y189="Botella / 3 instalaciones","Precio botella / 3",IF(Y189="Por rollo o metros proporcionales","Si se pasa rollo: rollo completo. Si se pasan metros: proporcional",Y189))</x:f>
        <x:v>Por metros</x:v>
      </x:c>
      <x:c r="AA189" s="38" t="n">
        <x:v>1</x:v>
      </x:c>
      <x:c r="AB189" s="38" t="str"/>
      <x:c r="AC189" s="38" t="str"/>
      <x:c r="AD189" s="116" t="str">
        <x:v>2026-06-30</x:v>
      </x:c>
      <x:c r="AE189" s="38" t="str">
        <x:v>No</x:v>
      </x:c>
      <x:c r="AF189" s="38" t="str"/>
    </x:row>
    <x:row r="190">
      <x:c r="A190" s="38" t="str">
        <x:v>MAT-0189</x:v>
      </x:c>
      <x:c r="B190" s="38" t="str">
        <x:v>Sí</x:v>
      </x:c>
      <x:c r="C190" s="38" t="str">
        <x:v>Tubería frigorífica</x:v>
      </x:c>
      <x:c r="D190" s="38" t="str">
        <x:v>Cobre frigorífico aislado</x:v>
      </x:c>
      <x:c r="E190" s="38" t="str">
        <x:v>Tubo Cobre Aisl. 25 Mts</x:v>
      </x:c>
      <x:c r="F190" s="38" t="str">
        <x:v>TUBO COBRE AISL. 25 MTS</x:v>
      </x:c>
      <x:c r="G190" s="38" t="str">
        <x:v>ISOP. 3/8</x:v>
      </x:c>
      <x:c r="H190" s="38" t="str">
        <x:v>Sánchez Arencibia, S.A.</x:v>
      </x:c>
      <x:c r="I190" s="38" t="str">
        <x:v>Factura F/233,933</x:v>
      </x:c>
      <x:c r="J190" s="115" t="str">
        <x:v>31/03/2026</x:v>
      </x:c>
      <x:c r="K190" s="38" t="str">
        <x:v>Albarán TF 536,022 (23/03/2026)</x:v>
      </x:c>
      <x:c r="L190" s="38" t="n">
        <x:v>1</x:v>
      </x:c>
      <x:c r="M190" s="38" t="str">
        <x:v>Unidad</x:v>
      </x:c>
      <x:c r="N190" s="38" t="n">
        <x:v>1</x:v>
      </x:c>
      <x:c r="O190" s="38" t="str">
        <x:v>Unidad</x:v>
      </x:c>
      <x:c r="P190" s="99" t="n">
        <x:v>94</x:v>
      </x:c>
      <x:c r="Q190" s="114" t="n">
        <x:v>0.3</x:v>
      </x:c>
      <x:c r="R190" s="99" t="n">
        <x:v>65.8</x:v>
      </x:c>
      <x:c r="S190" s="99" t="n">
        <x:f>IFERROR(R190/L190,P190*(1-Q190))</x:f>
        <x:v>65.8</x:v>
      </x:c>
      <x:c r="T190" s="114" t="n">
        <x:v>0.07</x:v>
      </x:c>
      <x:c r="U190" s="99" t="n">
        <x:f>S190*(1+T190)</x:f>
        <x:v>70.406</x:v>
      </x:c>
      <x:c r="V190" s="99" t="n">
        <x:f>S190</x:f>
        <x:v>65.8</x:v>
      </x:c>
      <x:c r="W190" s="99" t="n">
        <x:f>V190-S190</x:f>
        <x:v>0</x:v>
      </x:c>
      <x:c r="X190" s="114" t="n">
        <x:f>IFERROR(W190/V190,0)</x:f>
        <x:v>0</x:v>
      </x:c>
      <x:c r="Y190" s="38" t="str">
        <x:v>Por unidad</x:v>
      </x:c>
      <x:c r="Z190" s="38" t="str">
        <x:f>IF(Y190="Botella / 3 instalaciones","Precio botella / 3",IF(Y190="Por rollo o metros proporcionales","Si se pasa rollo: rollo completo. Si se pasan metros: proporcional",Y190))</x:f>
        <x:v>Por unidad</x:v>
      </x:c>
      <x:c r="AA190" s="38" t="n">
        <x:v>1</x:v>
      </x:c>
      <x:c r="AB190" s="38" t="str"/>
      <x:c r="AC190" s="38" t="str"/>
      <x:c r="AD190" s="116" t="str">
        <x:v>2026-06-30</x:v>
      </x:c>
      <x:c r="AE190" s="38" t="str">
        <x:v>No</x:v>
      </x:c>
      <x:c r="AF190" s="38" t="str"/>
    </x:row>
    <x:row r="191">
      <x:c r="A191" s="38" t="str">
        <x:v>MAT-0190</x:v>
      </x:c>
      <x:c r="B191" s="38" t="str">
        <x:v>Sí</x:v>
      </x:c>
      <x:c r="C191" s="38" t="str">
        <x:v>Tubería frigorífica</x:v>
      </x:c>
      <x:c r="D191" s="38" t="str">
        <x:v>Cobre frigorífico aislado</x:v>
      </x:c>
      <x:c r="E191" s="38" t="str">
        <x:v>Tubo Cobre Aisl. 20 Mts</x:v>
      </x:c>
      <x:c r="F191" s="38" t="str">
        <x:v>TUBO COBRE AISL. 20 MTS</x:v>
      </x:c>
      <x:c r="G191" s="38" t="str">
        <x:v>BIPOL. 1/4+3/8</x:v>
      </x:c>
      <x:c r="H191" s="38" t="str">
        <x:v>Sánchez Arencibia, S.A.</x:v>
      </x:c>
      <x:c r="I191" s="38" t="str">
        <x:v>Factura F/232,781</x:v>
      </x:c>
      <x:c r="J191" s="115" t="str">
        <x:v>31/01/2026</x:v>
      </x:c>
      <x:c r="K191" s="38" t="str">
        <x:v>Albarán TF 532,522 (08/01/2026)</x:v>
      </x:c>
      <x:c r="L191" s="38" t="n">
        <x:v>4</x:v>
      </x:c>
      <x:c r="M191" s="38" t="str">
        <x:v>Rollo</x:v>
      </x:c>
      <x:c r="N191" s="38" t="n">
        <x:v>20</x:v>
      </x:c>
      <x:c r="O191" s="38" t="str">
        <x:v>Metro</x:v>
      </x:c>
      <x:c r="P191" s="99" t="n">
        <x:v>132.3</x:v>
      </x:c>
      <x:c r="Q191" s="114" t="n">
        <x:v>0.3</x:v>
      </x:c>
      <x:c r="R191" s="99" t="n">
        <x:v>370.44</x:v>
      </x:c>
      <x:c r="S191" s="99" t="n">
        <x:f>IFERROR(R191/L191,P191*(1-Q191))</x:f>
        <x:v>92.61</x:v>
      </x:c>
      <x:c r="T191" s="114" t="n">
        <x:v>0.07</x:v>
      </x:c>
      <x:c r="U191" s="99" t="n">
        <x:f>S191*(1+T191)</x:f>
        <x:v>99.09270000000001</x:v>
      </x:c>
      <x:c r="V191" s="99" t="n">
        <x:f>S191</x:f>
        <x:v>92.61</x:v>
      </x:c>
      <x:c r="W191" s="99" t="n">
        <x:f>V191-S191</x:f>
        <x:v>0</x:v>
      </x:c>
      <x:c r="X191" s="114" t="n">
        <x:f>IFERROR(W191/V191,0)</x:f>
        <x:v>0</x:v>
      </x:c>
      <x:c r="Y191" s="38" t="str">
        <x:v>Por rollo o metros proporcionales</x:v>
      </x:c>
      <x:c r="Z191" s="38" t="str">
        <x:f>IF(Y191="Botella / 3 instalaciones","Precio botella / 3",IF(Y191="Por rollo o metros proporcionales","Si se pasa rollo: rollo completo. Si se pasan metros: proporcional",Y191))</x:f>
        <x:v>Si se pasa rollo: rollo completo. Si se pasan metros: proporcional</x:v>
      </x:c>
      <x:c r="AA191" s="38" t="n">
        <x:v>20</x:v>
      </x:c>
      <x:c r="AB191" s="38" t="str"/>
      <x:c r="AC191" s="38" t="str"/>
      <x:c r="AD191" s="116" t="str">
        <x:v>2026-06-30</x:v>
      </x:c>
      <x:c r="AE191" s="38" t="str">
        <x:v>No</x:v>
      </x:c>
      <x:c r="AF191" s="38" t="str"/>
    </x:row>
    <x:row r="192">
      <x:c r="A192" s="38" t="str">
        <x:v>MAT-0191</x:v>
      </x:c>
      <x:c r="B192" s="38" t="str">
        <x:v>Sí</x:v>
      </x:c>
      <x:c r="C192" s="38" t="str">
        <x:v>Sin clasificar</x:v>
      </x:c>
      <x:c r="D192" s="38" t="str"/>
      <x:c r="E192" s="38" t="str">
        <x:v>Carril Pesada 41X21X2.5 3Mt</x:v>
      </x:c>
      <x:c r="F192" s="38" t="str">
        <x:v>CARRIL PESADA 41X21X2.5 3MT</x:v>
      </x:c>
      <x:c r="G192" s="38" t="str">
        <x:v>65018327 (BUP)</x:v>
      </x:c>
      <x:c r="H192" s="38" t="str">
        <x:v>Sánchez Arencibia, S.A.</x:v>
      </x:c>
      <x:c r="I192" s="38" t="str">
        <x:v>Factura F/232,781</x:v>
      </x:c>
      <x:c r="J192" s="115" t="str">
        <x:v>31/01/2026</x:v>
      </x:c>
      <x:c r="K192" s="38" t="str">
        <x:v>Albarán TF 532,522 (08/01/2026)</x:v>
      </x:c>
      <x:c r="L192" s="38" t="n">
        <x:v>2</x:v>
      </x:c>
      <x:c r="M192" s="38" t="str">
        <x:v>Unidad</x:v>
      </x:c>
      <x:c r="N192" s="38" t="n">
        <x:v>1</x:v>
      </x:c>
      <x:c r="O192" s="38" t="str">
        <x:v>Unidad</x:v>
      </x:c>
      <x:c r="P192" s="99" t="n">
        <x:v>86.42</x:v>
      </x:c>
      <x:c r="Q192" s="114" t="n">
        <x:v>0.75</x:v>
      </x:c>
      <x:c r="R192" s="99" t="n">
        <x:v>43.21</x:v>
      </x:c>
      <x:c r="S192" s="99" t="n">
        <x:f>IFERROR(R192/L192,P192*(1-Q192))</x:f>
        <x:v>21.605</x:v>
      </x:c>
      <x:c r="T192" s="114" t="n">
        <x:v>0.07</x:v>
      </x:c>
      <x:c r="U192" s="99" t="n">
        <x:f>S192*(1+T192)</x:f>
        <x:v>23.117350000000002</x:v>
      </x:c>
      <x:c r="V192" s="99" t="n">
        <x:f>S192</x:f>
        <x:v>21.605</x:v>
      </x:c>
      <x:c r="W192" s="99" t="n">
        <x:f>V192-S192</x:f>
        <x:v>0</x:v>
      </x:c>
      <x:c r="X192" s="114" t="n">
        <x:f>IFERROR(W192/V192,0)</x:f>
        <x:v>0</x:v>
      </x:c>
      <x:c r="Y192" s="38" t="str">
        <x:v>Por unidad</x:v>
      </x:c>
      <x:c r="Z192" s="38" t="str">
        <x:f>IF(Y192="Botella / 3 instalaciones","Precio botella / 3",IF(Y192="Por rollo o metros proporcionales","Si se pasa rollo: rollo completo. Si se pasan metros: proporcional",Y192))</x:f>
        <x:v>Por unidad</x:v>
      </x:c>
      <x:c r="AA192" s="38" t="n">
        <x:v>1</x:v>
      </x:c>
      <x:c r="AB192" s="38" t="str"/>
      <x:c r="AC192" s="38" t="str"/>
      <x:c r="AD192" s="116" t="str">
        <x:v>2026-06-30</x:v>
      </x:c>
      <x:c r="AE192" s="38" t="str">
        <x:v>Sí</x:v>
      </x:c>
      <x:c r="AF192" s="38" t="str">
        <x:v>Revisar categoría antes de usar en cálculo automático.</x:v>
      </x:c>
    </x:row>
    <x:row r="193">
      <x:c r="A193" s="38" t="str">
        <x:v>MAT-0192</x:v>
      </x:c>
      <x:c r="B193" s="38" t="str">
        <x:v>Sí</x:v>
      </x:c>
      <x:c r="C193" s="38" t="str">
        <x:v>Canaleta</x:v>
      </x:c>
      <x:c r="D193" s="38" t="str">
        <x:v>Canaleta tramo</x:v>
      </x:c>
      <x:c r="E193" s="38" t="str">
        <x:v>Canaleta 125X75 2 Mts.</x:v>
      </x:c>
      <x:c r="F193" s="38" t="str">
        <x:v>CANALETA 125X75 2 MTS.</x:v>
      </x:c>
      <x:c r="G193" s="38" t="str">
        <x:v>9803-001-08F</x:v>
      </x:c>
      <x:c r="H193" s="38" t="str">
        <x:v>Sánchez Arencibia, S.A.</x:v>
      </x:c>
      <x:c r="I193" s="38" t="str">
        <x:v>Factura F/232,781</x:v>
      </x:c>
      <x:c r="J193" s="115" t="str">
        <x:v>31/01/2026</x:v>
      </x:c>
      <x:c r="K193" s="38" t="str">
        <x:v>Albarán TF 532,524 (08/01/2026)</x:v>
      </x:c>
      <x:c r="L193" s="38" t="n">
        <x:v>3</x:v>
      </x:c>
      <x:c r="M193" s="38" t="str">
        <x:v>Metro</x:v>
      </x:c>
      <x:c r="N193" s="38" t="n">
        <x:v>1</x:v>
      </x:c>
      <x:c r="O193" s="38" t="str">
        <x:v>Metro</x:v>
      </x:c>
      <x:c r="P193" s="99" t="n">
        <x:v>20.68</x:v>
      </x:c>
      <x:c r="Q193" s="114" t="n">
        <x:v>0.4</x:v>
      </x:c>
      <x:c r="R193" s="99" t="n">
        <x:v>37.22</x:v>
      </x:c>
      <x:c r="S193" s="99" t="n">
        <x:f>IFERROR(R193/L193,P193*(1-Q193))</x:f>
        <x:v>12.406666666666666</x:v>
      </x:c>
      <x:c r="T193" s="114" t="n">
        <x:v>0.07</x:v>
      </x:c>
      <x:c r="U193" s="99" t="n">
        <x:f>S193*(1+T193)</x:f>
        <x:v>13.275133333333335</x:v>
      </x:c>
      <x:c r="V193" s="99" t="n">
        <x:f>S193</x:f>
        <x:v>12.406666666666666</x:v>
      </x:c>
      <x:c r="W193" s="99" t="n">
        <x:f>V193-S193</x:f>
        <x:v>0</x:v>
      </x:c>
      <x:c r="X193" s="114" t="n">
        <x:f>IFERROR(W193/V193,0)</x:f>
        <x:v>0</x:v>
      </x:c>
      <x:c r="Y193" s="38" t="str">
        <x:v>Por metros</x:v>
      </x:c>
      <x:c r="Z193" s="38" t="str">
        <x:f>IF(Y193="Botella / 3 instalaciones","Precio botella / 3",IF(Y193="Por rollo o metros proporcionales","Si se pasa rollo: rollo completo. Si se pasan metros: proporcional",Y193))</x:f>
        <x:v>Por metros</x:v>
      </x:c>
      <x:c r="AA193" s="38" t="n">
        <x:v>1</x:v>
      </x:c>
      <x:c r="AB193" s="38" t="str"/>
      <x:c r="AC193" s="38" t="str"/>
      <x:c r="AD193" s="116" t="str">
        <x:v>2026-06-30</x:v>
      </x:c>
      <x:c r="AE193" s="38" t="str">
        <x:v>No</x:v>
      </x:c>
      <x:c r="AF193" s="38" t="str"/>
    </x:row>
    <x:row r="194">
      <x:c r="A194" s="38" t="str">
        <x:v>MAT-0193</x:v>
      </x:c>
      <x:c r="B194" s="38" t="str">
        <x:v>Sí</x:v>
      </x:c>
      <x:c r="C194" s="38" t="str">
        <x:v>Sin clasificar</x:v>
      </x:c>
      <x:c r="D194" s="38" t="str"/>
      <x:c r="E194" s="38" t="str">
        <x:v>Curva Plana 125X75</x:v>
      </x:c>
      <x:c r="F194" s="38" t="str">
        <x:v>CURVA PLANA 125X75</x:v>
      </x:c>
      <x:c r="G194" s="38" t="str">
        <x:v>9803-115-08</x:v>
      </x:c>
      <x:c r="H194" s="38" t="str">
        <x:v>Sánchez Arencibia, S.A.</x:v>
      </x:c>
      <x:c r="I194" s="38" t="str">
        <x:v>Factura F/232,781</x:v>
      </x:c>
      <x:c r="J194" s="115" t="str">
        <x:v>31/01/2026</x:v>
      </x:c>
      <x:c r="K194" s="38" t="str">
        <x:v>Albarán TF 532,524 (08/01/2026)</x:v>
      </x:c>
      <x:c r="L194" s="38" t="n">
        <x:v>1</x:v>
      </x:c>
      <x:c r="M194" s="38" t="str">
        <x:v>Unidad</x:v>
      </x:c>
      <x:c r="N194" s="38" t="n">
        <x:v>1</x:v>
      </x:c>
      <x:c r="O194" s="38" t="str">
        <x:v>Unidad</x:v>
      </x:c>
      <x:c r="P194" s="99" t="n">
        <x:v>6.58</x:v>
      </x:c>
      <x:c r="Q194" s="114" t="n">
        <x:v>0.4</x:v>
      </x:c>
      <x:c r="R194" s="99" t="n">
        <x:v>3.95</x:v>
      </x:c>
      <x:c r="S194" s="99" t="n">
        <x:f>IFERROR(R194/L194,P194*(1-Q194))</x:f>
        <x:v>3.95</x:v>
      </x:c>
      <x:c r="T194" s="114" t="n">
        <x:v>0.07</x:v>
      </x:c>
      <x:c r="U194" s="99" t="n">
        <x:f>S194*(1+T194)</x:f>
        <x:v>4.226500000000001</x:v>
      </x:c>
      <x:c r="V194" s="99" t="n">
        <x:f>S194</x:f>
        <x:v>3.95</x:v>
      </x:c>
      <x:c r="W194" s="99" t="n">
        <x:f>V194-S194</x:f>
        <x:v>0</x:v>
      </x:c>
      <x:c r="X194" s="114" t="n">
        <x:f>IFERROR(W194/V194,0)</x:f>
        <x:v>0</x:v>
      </x:c>
      <x:c r="Y194" s="38" t="str">
        <x:v>Por unidad</x:v>
      </x:c>
      <x:c r="Z194" s="38" t="str">
        <x:f>IF(Y194="Botella / 3 instalaciones","Precio botella / 3",IF(Y194="Por rollo o metros proporcionales","Si se pasa rollo: rollo completo. Si se pasan metros: proporcional",Y194))</x:f>
        <x:v>Por unidad</x:v>
      </x:c>
      <x:c r="AA194" s="38" t="n">
        <x:v>1</x:v>
      </x:c>
      <x:c r="AB194" s="38" t="str"/>
      <x:c r="AC194" s="38" t="str"/>
      <x:c r="AD194" s="116" t="str">
        <x:v>2026-06-30</x:v>
      </x:c>
      <x:c r="AE194" s="38" t="str">
        <x:v>Sí</x:v>
      </x:c>
      <x:c r="AF194" s="38" t="str">
        <x:v>Revisar categoría antes de usar en cálculo automático.</x:v>
      </x:c>
    </x:row>
    <x:row r="195">
      <x:c r="A195" s="38" t="str">
        <x:v>MAT-0194</x:v>
      </x:c>
      <x:c r="B195" s="38" t="str">
        <x:v>Sí</x:v>
      </x:c>
      <x:c r="C195" s="38" t="str">
        <x:v>Sin clasificar</x:v>
      </x:c>
      <x:c r="D195" s="38" t="str"/>
      <x:c r="E195" s="38" t="str">
        <x:v>Angulo Externo 125X75</x:v>
      </x:c>
      <x:c r="F195" s="38" t="str">
        <x:v>ANGULO EXTERNO 125X75</x:v>
      </x:c>
      <x:c r="G195" s="38" t="str">
        <x:v>9803-113-08</x:v>
      </x:c>
      <x:c r="H195" s="38" t="str">
        <x:v>Sánchez Arencibia, S.A.</x:v>
      </x:c>
      <x:c r="I195" s="38" t="str">
        <x:v>Factura F/232,781</x:v>
      </x:c>
      <x:c r="J195" s="115" t="str">
        <x:v>31/01/2026</x:v>
      </x:c>
      <x:c r="K195" s="38" t="str">
        <x:v>Albarán TF 532,524 (08/01/2026)</x:v>
      </x:c>
      <x:c r="L195" s="38" t="n">
        <x:v>1</x:v>
      </x:c>
      <x:c r="M195" s="38" t="str">
        <x:v>Unidad</x:v>
      </x:c>
      <x:c r="N195" s="38" t="n">
        <x:v>1</x:v>
      </x:c>
      <x:c r="O195" s="38" t="str">
        <x:v>Unidad</x:v>
      </x:c>
      <x:c r="P195" s="99" t="n">
        <x:v>5.04</x:v>
      </x:c>
      <x:c r="Q195" s="114" t="n">
        <x:v>0.4</x:v>
      </x:c>
      <x:c r="R195" s="99" t="n">
        <x:v>3.02</x:v>
      </x:c>
      <x:c r="S195" s="99" t="n">
        <x:f>IFERROR(R195/L195,P195*(1-Q195))</x:f>
        <x:v>3.02</x:v>
      </x:c>
      <x:c r="T195" s="114" t="n">
        <x:v>0.07</x:v>
      </x:c>
      <x:c r="U195" s="99" t="n">
        <x:f>S195*(1+T195)</x:f>
        <x:v>3.2314000000000003</x:v>
      </x:c>
      <x:c r="V195" s="99" t="n">
        <x:f>S195</x:f>
        <x:v>3.02</x:v>
      </x:c>
      <x:c r="W195" s="99" t="n">
        <x:f>V195-S195</x:f>
        <x:v>0</x:v>
      </x:c>
      <x:c r="X195" s="114" t="n">
        <x:f>IFERROR(W195/V195,0)</x:f>
        <x:v>0</x:v>
      </x:c>
      <x:c r="Y195" s="38" t="str">
        <x:v>Por unidad</x:v>
      </x:c>
      <x:c r="Z195" s="38" t="str">
        <x:f>IF(Y195="Botella / 3 instalaciones","Precio botella / 3",IF(Y195="Por rollo o metros proporcionales","Si se pasa rollo: rollo completo. Si se pasan metros: proporcional",Y195))</x:f>
        <x:v>Por unidad</x:v>
      </x:c>
      <x:c r="AA195" s="38" t="n">
        <x:v>1</x:v>
      </x:c>
      <x:c r="AB195" s="38" t="str"/>
      <x:c r="AC195" s="38" t="str"/>
      <x:c r="AD195" s="116" t="str">
        <x:v>2026-06-30</x:v>
      </x:c>
      <x:c r="AE195" s="38" t="str">
        <x:v>Sí</x:v>
      </x:c>
      <x:c r="AF195" s="38" t="str">
        <x:v>Revisar categoría antes de usar en cálculo automático.</x:v>
      </x:c>
    </x:row>
    <x:row r="196">
      <x:c r="A196" s="38" t="str">
        <x:v>MAT-0195</x:v>
      </x:c>
      <x:c r="B196" s="38" t="str">
        <x:v>Sí</x:v>
      </x:c>
      <x:c r="C196" s="38" t="str">
        <x:v>Canaleta</x:v>
      </x:c>
      <x:c r="D196" s="38" t="str">
        <x:v>Canaleta tramo</x:v>
      </x:c>
      <x:c r="E196" s="38" t="str">
        <x:v>Canaleta 65X50 2 Mts.</x:v>
      </x:c>
      <x:c r="F196" s="38" t="str">
        <x:v>CANALETA 65X50 2 MTS.</x:v>
      </x:c>
      <x:c r="G196" s="38" t="str">
        <x:v>9801-001-08F</x:v>
      </x:c>
      <x:c r="H196" s="38" t="str">
        <x:v>Sánchez Arencibia, S.A.</x:v>
      </x:c>
      <x:c r="I196" s="38" t="str">
        <x:v>Factura F/232,781</x:v>
      </x:c>
      <x:c r="J196" s="115" t="str">
        <x:v>31/01/2026</x:v>
      </x:c>
      <x:c r="K196" s="38" t="str">
        <x:v>Albarán TF 532,586 (08/01/2026)</x:v>
      </x:c>
      <x:c r="L196" s="38" t="n">
        <x:v>3</x:v>
      </x:c>
      <x:c r="M196" s="38" t="str">
        <x:v>Metro</x:v>
      </x:c>
      <x:c r="N196" s="38" t="n">
        <x:v>1</x:v>
      </x:c>
      <x:c r="O196" s="38" t="str">
        <x:v>Metro</x:v>
      </x:c>
      <x:c r="P196" s="99" t="n">
        <x:v>8.67</x:v>
      </x:c>
      <x:c r="Q196" s="114" t="n">
        <x:v>0.4</x:v>
      </x:c>
      <x:c r="R196" s="99" t="n">
        <x:v>15.61</x:v>
      </x:c>
      <x:c r="S196" s="99" t="n">
        <x:f>IFERROR(R196/L196,P196*(1-Q196))</x:f>
        <x:v>5.203333333333333</x:v>
      </x:c>
      <x:c r="T196" s="114" t="n">
        <x:v>0.07</x:v>
      </x:c>
      <x:c r="U196" s="99" t="n">
        <x:f>S196*(1+T196)</x:f>
        <x:v>5.567566666666667</x:v>
      </x:c>
      <x:c r="V196" s="99" t="n">
        <x:f>S196</x:f>
        <x:v>5.203333333333333</x:v>
      </x:c>
      <x:c r="W196" s="99" t="n">
        <x:f>V196-S196</x:f>
        <x:v>0</x:v>
      </x:c>
      <x:c r="X196" s="114" t="n">
        <x:f>IFERROR(W196/V196,0)</x:f>
        <x:v>0</x:v>
      </x:c>
      <x:c r="Y196" s="38" t="str">
        <x:v>Por metros</x:v>
      </x:c>
      <x:c r="Z196" s="38" t="str">
        <x:f>IF(Y196="Botella / 3 instalaciones","Precio botella / 3",IF(Y196="Por rollo o metros proporcionales","Si se pasa rollo: rollo completo. Si se pasan metros: proporcional",Y196))</x:f>
        <x:v>Por metros</x:v>
      </x:c>
      <x:c r="AA196" s="38" t="n">
        <x:v>1</x:v>
      </x:c>
      <x:c r="AB196" s="38" t="str"/>
      <x:c r="AC196" s="38" t="str"/>
      <x:c r="AD196" s="116" t="str">
        <x:v>2026-06-30</x:v>
      </x:c>
      <x:c r="AE196" s="38" t="str">
        <x:v>No</x:v>
      </x:c>
      <x:c r="AF196" s="38" t="str"/>
    </x:row>
    <x:row r="197">
      <x:c r="A197" s="38" t="str">
        <x:v>MAT-0196</x:v>
      </x:c>
      <x:c r="B197" s="38" t="str">
        <x:v>Sí</x:v>
      </x:c>
      <x:c r="C197" s="38" t="str">
        <x:v>Sin clasificar</x:v>
      </x:c>
      <x:c r="D197" s="38" t="str"/>
      <x:c r="E197" s="38" t="str">
        <x:v>Angulo Interno 125X75</x:v>
      </x:c>
      <x:c r="F197" s="38" t="str">
        <x:v>ANGULO INTERNO 125X75</x:v>
      </x:c>
      <x:c r="G197" s="38" t="str">
        <x:v>9803-112-08</x:v>
      </x:c>
      <x:c r="H197" s="38" t="str">
        <x:v>Sánchez Arencibia, S.A.</x:v>
      </x:c>
      <x:c r="I197" s="38" t="str">
        <x:v>Factura F/232,781</x:v>
      </x:c>
      <x:c r="J197" s="115" t="str">
        <x:v>31/01/2026</x:v>
      </x:c>
      <x:c r="K197" s="38" t="str">
        <x:v>Albarán TF 532,586 (08/01/2026)</x:v>
      </x:c>
      <x:c r="L197" s="38" t="n">
        <x:v>1</x:v>
      </x:c>
      <x:c r="M197" s="38" t="str">
        <x:v>Unidad</x:v>
      </x:c>
      <x:c r="N197" s="38" t="n">
        <x:v>1</x:v>
      </x:c>
      <x:c r="O197" s="38" t="str">
        <x:v>Unidad</x:v>
      </x:c>
      <x:c r="P197" s="99" t="n">
        <x:v>5.1</x:v>
      </x:c>
      <x:c r="Q197" s="114" t="n">
        <x:v>0.4</x:v>
      </x:c>
      <x:c r="R197" s="99" t="n">
        <x:v>3.06</x:v>
      </x:c>
      <x:c r="S197" s="99" t="n">
        <x:f>IFERROR(R197/L197,P197*(1-Q197))</x:f>
        <x:v>3.06</x:v>
      </x:c>
      <x:c r="T197" s="114" t="n">
        <x:v>0.07</x:v>
      </x:c>
      <x:c r="U197" s="99" t="n">
        <x:f>S197*(1+T197)</x:f>
        <x:v>3.2742000000000004</x:v>
      </x:c>
      <x:c r="V197" s="99" t="n">
        <x:f>S197</x:f>
        <x:v>3.06</x:v>
      </x:c>
      <x:c r="W197" s="99" t="n">
        <x:f>V197-S197</x:f>
        <x:v>0</x:v>
      </x:c>
      <x:c r="X197" s="114" t="n">
        <x:f>IFERROR(W197/V197,0)</x:f>
        <x:v>0</x:v>
      </x:c>
      <x:c r="Y197" s="38" t="str">
        <x:v>Por unidad</x:v>
      </x:c>
      <x:c r="Z197" s="38" t="str">
        <x:f>IF(Y197="Botella / 3 instalaciones","Precio botella / 3",IF(Y197="Por rollo o metros proporcionales","Si se pasa rollo: rollo completo. Si se pasan metros: proporcional",Y197))</x:f>
        <x:v>Por unidad</x:v>
      </x:c>
      <x:c r="AA197" s="38" t="n">
        <x:v>1</x:v>
      </x:c>
      <x:c r="AB197" s="38" t="str"/>
      <x:c r="AC197" s="38" t="str"/>
      <x:c r="AD197" s="116" t="str">
        <x:v>2026-06-30</x:v>
      </x:c>
      <x:c r="AE197" s="38" t="str">
        <x:v>Sí</x:v>
      </x:c>
      <x:c r="AF197" s="38" t="str">
        <x:v>Revisar categoría antes de usar en cálculo automático.</x:v>
      </x:c>
    </x:row>
    <x:row r="198">
      <x:c r="A198" s="38" t="str">
        <x:v>MAT-0197</x:v>
      </x:c>
      <x:c r="B198" s="38" t="str">
        <x:v>Sí</x:v>
      </x:c>
      <x:c r="C198" s="38" t="str">
        <x:v>Soportes y fijaciones</x:v>
      </x:c>
      <x:c r="D198" s="38" t="str">
        <x:v>Soportes/amortiguadores</x:v>
      </x:c>
      <x:c r="E198" s="38" t="str">
        <x:v>Juego Amortiguadores (4)</x:v>
      </x:c>
      <x:c r="F198" s="38" t="str">
        <x:v>JUEGO AMORTIGUADORES (4)</x:v>
      </x:c>
      <x:c r="G198" s="38" t="str">
        <x:v>SG-60 AIRPACK</x:v>
      </x:c>
      <x:c r="H198" s="38" t="str">
        <x:v>Sánchez Arencibia, S.A.</x:v>
      </x:c>
      <x:c r="I198" s="38" t="str">
        <x:v>Factura F/232,781</x:v>
      </x:c>
      <x:c r="J198" s="115" t="str">
        <x:v>31/01/2026</x:v>
      </x:c>
      <x:c r="K198" s="38" t="str">
        <x:v>Albarán TF 532,586 (08/01/2026)</x:v>
      </x:c>
      <x:c r="L198" s="38" t="n">
        <x:v>2</x:v>
      </x:c>
      <x:c r="M198" s="38" t="str">
        <x:v>Unidad</x:v>
      </x:c>
      <x:c r="N198" s="38" t="n">
        <x:v>1</x:v>
      </x:c>
      <x:c r="O198" s="38" t="str">
        <x:v>Unidad</x:v>
      </x:c>
      <x:c r="P198" s="99" t="n">
        <x:v>5.02</x:v>
      </x:c>
      <x:c r="Q198" s="114" t="n">
        <x:v>0.4</x:v>
      </x:c>
      <x:c r="R198" s="99" t="n">
        <x:v>6.02</x:v>
      </x:c>
      <x:c r="S198" s="99" t="n">
        <x:f>IFERROR(R198/L198,P198*(1-Q198))</x:f>
        <x:v>3.01</x:v>
      </x:c>
      <x:c r="T198" s="114" t="n">
        <x:v>0.07</x:v>
      </x:c>
      <x:c r="U198" s="99" t="n">
        <x:f>S198*(1+T198)</x:f>
        <x:v>3.2207</x:v>
      </x:c>
      <x:c r="V198" s="99" t="n">
        <x:f>S198</x:f>
        <x:v>3.01</x:v>
      </x:c>
      <x:c r="W198" s="99" t="n">
        <x:f>V198-S198</x:f>
        <x:v>0</x:v>
      </x:c>
      <x:c r="X198" s="114" t="n">
        <x:f>IFERROR(W198/V198,0)</x:f>
        <x:v>0</x:v>
      </x:c>
      <x:c r="Y198" s="38" t="str">
        <x:v>Por unidad</x:v>
      </x:c>
      <x:c r="Z198" s="38" t="str">
        <x:f>IF(Y198="Botella / 3 instalaciones","Precio botella / 3",IF(Y198="Por rollo o metros proporcionales","Si se pasa rollo: rollo completo. Si se pasan metros: proporcional",Y198))</x:f>
        <x:v>Por unidad</x:v>
      </x:c>
      <x:c r="AA198" s="38" t="n">
        <x:v>1</x:v>
      </x:c>
      <x:c r="AB198" s="38" t="str">
        <x:v>Sánchez Arencibia, S.A.</x:v>
      </x:c>
      <x:c r="AC198" s="38" t="str">
        <x:v>Media-Baja</x:v>
      </x:c>
      <x:c r="AD198" s="116" t="str">
        <x:v>2026-06-30</x:v>
      </x:c>
      <x:c r="AE198" s="38" t="str">
        <x:v>No</x:v>
      </x:c>
      <x:c r="AF198" s="38" t="str">
        <x:v>Comparativa orientativa: revisar ficha/medida antes de decidir proveedor.</x:v>
      </x:c>
    </x:row>
    <x:row r="199">
      <x:c r="A199" s="38" t="str">
        <x:v>MAT-0198</x:v>
      </x:c>
      <x:c r="B199" s="38" t="str">
        <x:v>Sí</x:v>
      </x:c>
      <x:c r="C199" s="38" t="str">
        <x:v>Tubería frigorífica</x:v>
      </x:c>
      <x:c r="D199" s="38" t="str">
        <x:v>Cobre frigorífico aislado</x:v>
      </x:c>
      <x:c r="E199" s="38" t="str">
        <x:v>Tubo Cobre Aisl. 20 Mts</x:v>
      </x:c>
      <x:c r="F199" s="38" t="str">
        <x:v>TUBO COBRE AISL. 20 MTS</x:v>
      </x:c>
      <x:c r="G199" s="38" t="str">
        <x:v>BIPOL. 1/4+1/2</x:v>
      </x:c>
      <x:c r="H199" s="38" t="str">
        <x:v>Sánchez Arencibia, S.A.</x:v>
      </x:c>
      <x:c r="I199" s="38" t="str">
        <x:v>Factura F/232,781</x:v>
      </x:c>
      <x:c r="J199" s="115" t="str">
        <x:v>31/01/2026</x:v>
      </x:c>
      <x:c r="K199" s="38" t="str">
        <x:v>Albarán TF 532,651 (12/01/2026)</x:v>
      </x:c>
      <x:c r="L199" s="38" t="n">
        <x:v>1</x:v>
      </x:c>
      <x:c r="M199" s="38" t="str">
        <x:v>Rollo</x:v>
      </x:c>
      <x:c r="N199" s="38" t="n">
        <x:v>20</x:v>
      </x:c>
      <x:c r="O199" s="38" t="str">
        <x:v>Metro</x:v>
      </x:c>
      <x:c r="P199" s="99" t="n">
        <x:v>156</x:v>
      </x:c>
      <x:c r="Q199" s="114" t="n">
        <x:v>0.3</x:v>
      </x:c>
      <x:c r="R199" s="99" t="n">
        <x:v>109.2</x:v>
      </x:c>
      <x:c r="S199" s="99" t="n">
        <x:f>IFERROR(R199/L199,P199*(1-Q199))</x:f>
        <x:v>109.2</x:v>
      </x:c>
      <x:c r="T199" s="114" t="n">
        <x:v>0.07</x:v>
      </x:c>
      <x:c r="U199" s="99" t="n">
        <x:f>S199*(1+T199)</x:f>
        <x:v>116.84400000000001</x:v>
      </x:c>
      <x:c r="V199" s="99" t="n">
        <x:f>S199</x:f>
        <x:v>109.2</x:v>
      </x:c>
      <x:c r="W199" s="99" t="n">
        <x:f>V199-S199</x:f>
        <x:v>0</x:v>
      </x:c>
      <x:c r="X199" s="114" t="n">
        <x:f>IFERROR(W199/V199,0)</x:f>
        <x:v>0</x:v>
      </x:c>
      <x:c r="Y199" s="38" t="str">
        <x:v>Por rollo o metros proporcionales</x:v>
      </x:c>
      <x:c r="Z199" s="38" t="str">
        <x:f>IF(Y199="Botella / 3 instalaciones","Precio botella / 3",IF(Y199="Por rollo o metros proporcionales","Si se pasa rollo: rollo completo. Si se pasan metros: proporcional",Y199))</x:f>
        <x:v>Si se pasa rollo: rollo completo. Si se pasan metros: proporcional</x:v>
      </x:c>
      <x:c r="AA199" s="38" t="n">
        <x:v>20</x:v>
      </x:c>
      <x:c r="AB199" s="38" t="str"/>
      <x:c r="AC199" s="38" t="str"/>
      <x:c r="AD199" s="116" t="str">
        <x:v>2026-06-30</x:v>
      </x:c>
      <x:c r="AE199" s="38" t="str">
        <x:v>No</x:v>
      </x:c>
      <x:c r="AF199" s="38" t="str"/>
    </x:row>
    <x:row r="200">
      <x:c r="A200" s="38" t="str">
        <x:v>MAT-0199</x:v>
      </x:c>
      <x:c r="B200" s="38" t="str">
        <x:v>Sí</x:v>
      </x:c>
      <x:c r="C200" s="38" t="str">
        <x:v>Sin clasificar</x:v>
      </x:c>
      <x:c r="D200" s="38" t="str"/>
      <x:c r="E200" s="38" t="str">
        <x:v>Caja Preinst. Universal</x:v>
      </x:c>
      <x:c r="F200" s="38" t="str">
        <x:v>CAJA PREINST. UNIVERSAL</x:v>
      </x:c>
      <x:c r="G200" s="38" t="str">
        <x:v>9899-002-01</x:v>
      </x:c>
      <x:c r="H200" s="38" t="str">
        <x:v>Sánchez Arencibia, S.A.</x:v>
      </x:c>
      <x:c r="I200" s="38" t="str">
        <x:v>Factura F/232,781</x:v>
      </x:c>
      <x:c r="J200" s="115" t="str">
        <x:v>31/01/2026</x:v>
      </x:c>
      <x:c r="K200" s="38" t="str">
        <x:v>Albarán TF 532,651 (12/01/2026)</x:v>
      </x:c>
      <x:c r="L200" s="38" t="n">
        <x:v>3</x:v>
      </x:c>
      <x:c r="M200" s="38" t="str">
        <x:v>Unidad</x:v>
      </x:c>
      <x:c r="N200" s="38" t="n">
        <x:v>1</x:v>
      </x:c>
      <x:c r="O200" s="38" t="str">
        <x:v>Unidad</x:v>
      </x:c>
      <x:c r="P200" s="99" t="n">
        <x:v>8</x:v>
      </x:c>
      <x:c r="Q200" s="114" t="n">
        <x:v>0.4</x:v>
      </x:c>
      <x:c r="R200" s="99" t="n">
        <x:v>14.4</x:v>
      </x:c>
      <x:c r="S200" s="99" t="n">
        <x:f>IFERROR(R200/L200,P200*(1-Q200))</x:f>
        <x:v>4.8</x:v>
      </x:c>
      <x:c r="T200" s="114" t="n">
        <x:v>0.07</x:v>
      </x:c>
      <x:c r="U200" s="99" t="n">
        <x:f>S200*(1+T200)</x:f>
        <x:v>5.136</x:v>
      </x:c>
      <x:c r="V200" s="99" t="n">
        <x:f>S200</x:f>
        <x:v>4.8</x:v>
      </x:c>
      <x:c r="W200" s="99" t="n">
        <x:f>V200-S200</x:f>
        <x:v>0</x:v>
      </x:c>
      <x:c r="X200" s="114" t="n">
        <x:f>IFERROR(W200/V200,0)</x:f>
        <x:v>0</x:v>
      </x:c>
      <x:c r="Y200" s="38" t="str">
        <x:v>Por unidad</x:v>
      </x:c>
      <x:c r="Z200" s="38" t="str">
        <x:f>IF(Y200="Botella / 3 instalaciones","Precio botella / 3",IF(Y200="Por rollo o metros proporcionales","Si se pasa rollo: rollo completo. Si se pasan metros: proporcional",Y200))</x:f>
        <x:v>Por unidad</x:v>
      </x:c>
      <x:c r="AA200" s="38" t="n">
        <x:v>1</x:v>
      </x:c>
      <x:c r="AB200" s="38" t="str"/>
      <x:c r="AC200" s="38" t="str"/>
      <x:c r="AD200" s="116" t="str">
        <x:v>2026-06-30</x:v>
      </x:c>
      <x:c r="AE200" s="38" t="str">
        <x:v>Sí</x:v>
      </x:c>
      <x:c r="AF200" s="38" t="str">
        <x:v>Revisar categoría antes de usar en cálculo automático.</x:v>
      </x:c>
    </x:row>
    <x:row r="201">
      <x:c r="A201" s="38" t="str">
        <x:v>MAT-0200</x:v>
      </x:c>
      <x:c r="B201" s="38" t="str">
        <x:v>Sí</x:v>
      </x:c>
      <x:c r="C201" s="38" t="str">
        <x:v>Canaleta</x:v>
      </x:c>
      <x:c r="D201" s="38" t="str">
        <x:v>Canaleta tramo</x:v>
      </x:c>
      <x:c r="E201" s="38" t="str">
        <x:v>Canaleta 125X75 2 Mts.</x:v>
      </x:c>
      <x:c r="F201" s="38" t="str">
        <x:v>CANALETA 125X75 2 MTS.</x:v>
      </x:c>
      <x:c r="G201" s="38" t="str">
        <x:v>9803-001-08F</x:v>
      </x:c>
      <x:c r="H201" s="38" t="str">
        <x:v>Sánchez Arencibia, S.A.</x:v>
      </x:c>
      <x:c r="I201" s="38" t="str">
        <x:v>Factura F/232,781</x:v>
      </x:c>
      <x:c r="J201" s="115" t="str">
        <x:v>31/01/2026</x:v>
      </x:c>
      <x:c r="K201" s="38" t="str">
        <x:v>Abono TF 532,845 (14/01/2026) Ref. F/232,781</x:v>
      </x:c>
      <x:c r="L201" s="38" t="n">
        <x:v>-1</x:v>
      </x:c>
      <x:c r="M201" s="38" t="str">
        <x:v>Metro</x:v>
      </x:c>
      <x:c r="N201" s="38" t="n">
        <x:v>1</x:v>
      </x:c>
      <x:c r="O201" s="38" t="str">
        <x:v>Metro</x:v>
      </x:c>
      <x:c r="P201" s="99" t="n">
        <x:v>20.68</x:v>
      </x:c>
      <x:c r="Q201" s="114" t="n">
        <x:v>0.4</x:v>
      </x:c>
      <x:c r="R201" s="99" t="n">
        <x:v>-12.41</x:v>
      </x:c>
      <x:c r="S201" s="99" t="n">
        <x:f>IFERROR(R201/L201,P201*(1-Q201))</x:f>
        <x:v>12.41</x:v>
      </x:c>
      <x:c r="T201" s="114" t="n">
        <x:v>0.07</x:v>
      </x:c>
      <x:c r="U201" s="99" t="n">
        <x:f>S201*(1+T201)</x:f>
        <x:v>13.2787</x:v>
      </x:c>
      <x:c r="V201" s="99" t="n">
        <x:f>S201</x:f>
        <x:v>12.41</x:v>
      </x:c>
      <x:c r="W201" s="99" t="n">
        <x:f>V201-S201</x:f>
        <x:v>0</x:v>
      </x:c>
      <x:c r="X201" s="114" t="n">
        <x:f>IFERROR(W201/V201,0)</x:f>
        <x:v>0</x:v>
      </x:c>
      <x:c r="Y201" s="38" t="str">
        <x:v>Por metros</x:v>
      </x:c>
      <x:c r="Z201" s="38" t="str">
        <x:f>IF(Y201="Botella / 3 instalaciones","Precio botella / 3",IF(Y201="Por rollo o metros proporcionales","Si se pasa rollo: rollo completo. Si se pasan metros: proporcional",Y201))</x:f>
        <x:v>Por metros</x:v>
      </x:c>
      <x:c r="AA201" s="38" t="n">
        <x:v>1</x:v>
      </x:c>
      <x:c r="AB201" s="38" t="str"/>
      <x:c r="AC201" s="38" t="str"/>
      <x:c r="AD201" s="116" t="str">
        <x:v>2026-06-30</x:v>
      </x:c>
      <x:c r="AE201" s="38" t="str">
        <x:v>No</x:v>
      </x:c>
      <x:c r="AF201" s="38" t="str"/>
    </x:row>
    <x:row r="202">
      <x:c r="A202" s="38" t="str">
        <x:v>MAT-0201</x:v>
      </x:c>
      <x:c r="B202" s="38" t="str">
        <x:v>Sí</x:v>
      </x:c>
      <x:c r="C202" s="38" t="str">
        <x:v>Sin clasificar</x:v>
      </x:c>
      <x:c r="D202" s="38" t="str"/>
      <x:c r="E202" s="38" t="str">
        <x:v>Angulo Externo 125X75</x:v>
      </x:c>
      <x:c r="F202" s="38" t="str">
        <x:v>ANGULO EXTERNO 125X75</x:v>
      </x:c>
      <x:c r="G202" s="38" t="str">
        <x:v>9803-113-08</x:v>
      </x:c>
      <x:c r="H202" s="38" t="str">
        <x:v>Sánchez Arencibia, S.A.</x:v>
      </x:c>
      <x:c r="I202" s="38" t="str">
        <x:v>Factura F/232,781</x:v>
      </x:c>
      <x:c r="J202" s="115" t="str">
        <x:v>31/01/2026</x:v>
      </x:c>
      <x:c r="K202" s="38" t="str">
        <x:v>Abono TF 532,845 (14/01/2026) Ref. F/232,781</x:v>
      </x:c>
      <x:c r="L202" s="38" t="n">
        <x:v>-1</x:v>
      </x:c>
      <x:c r="M202" s="38" t="str">
        <x:v>Unidad</x:v>
      </x:c>
      <x:c r="N202" s="38" t="n">
        <x:v>1</x:v>
      </x:c>
      <x:c r="O202" s="38" t="str">
        <x:v>Unidad</x:v>
      </x:c>
      <x:c r="P202" s="99" t="n">
        <x:v>5.04</x:v>
      </x:c>
      <x:c r="Q202" s="114" t="n">
        <x:v>0.4</x:v>
      </x:c>
      <x:c r="R202" s="99" t="n">
        <x:v>-3.02</x:v>
      </x:c>
      <x:c r="S202" s="99" t="n">
        <x:f>IFERROR(R202/L202,P202*(1-Q202))</x:f>
        <x:v>3.02</x:v>
      </x:c>
      <x:c r="T202" s="114" t="n">
        <x:v>0.07</x:v>
      </x:c>
      <x:c r="U202" s="99" t="n">
        <x:f>S202*(1+T202)</x:f>
        <x:v>3.2314000000000003</x:v>
      </x:c>
      <x:c r="V202" s="99" t="n">
        <x:f>S202</x:f>
        <x:v>3.02</x:v>
      </x:c>
      <x:c r="W202" s="99" t="n">
        <x:f>V202-S202</x:f>
        <x:v>0</x:v>
      </x:c>
      <x:c r="X202" s="114" t="n">
        <x:f>IFERROR(W202/V202,0)</x:f>
        <x:v>0</x:v>
      </x:c>
      <x:c r="Y202" s="38" t="str">
        <x:v>Por unidad</x:v>
      </x:c>
      <x:c r="Z202" s="38" t="str">
        <x:f>IF(Y202="Botella / 3 instalaciones","Precio botella / 3",IF(Y202="Por rollo o metros proporcionales","Si se pasa rollo: rollo completo. Si se pasan metros: proporcional",Y202))</x:f>
        <x:v>Por unidad</x:v>
      </x:c>
      <x:c r="AA202" s="38" t="n">
        <x:v>1</x:v>
      </x:c>
      <x:c r="AB202" s="38" t="str"/>
      <x:c r="AC202" s="38" t="str"/>
      <x:c r="AD202" s="116" t="str">
        <x:v>2026-06-30</x:v>
      </x:c>
      <x:c r="AE202" s="38" t="str">
        <x:v>Sí</x:v>
      </x:c>
      <x:c r="AF202" s="38" t="str">
        <x:v>Revisar categoría antes de usar en cálculo automático.</x:v>
      </x:c>
    </x:row>
    <x:row r="203">
      <x:c r="A203" s="38" t="str">
        <x:v>MAT-0202</x:v>
      </x:c>
      <x:c r="B203" s="38" t="str">
        <x:v>Sí</x:v>
      </x:c>
      <x:c r="C203" s="38" t="str">
        <x:v>Sin clasificar</x:v>
      </x:c>
      <x:c r="D203" s="38" t="str"/>
      <x:c r="E203" s="38" t="str">
        <x:v>Angulo Interno 125X75</x:v>
      </x:c>
      <x:c r="F203" s="38" t="str">
        <x:v>ANGULO INTERNO 125X75</x:v>
      </x:c>
      <x:c r="G203" s="38" t="str">
        <x:v>9803-112-08</x:v>
      </x:c>
      <x:c r="H203" s="38" t="str">
        <x:v>Sánchez Arencibia, S.A.</x:v>
      </x:c>
      <x:c r="I203" s="38" t="str">
        <x:v>Factura F/232,781</x:v>
      </x:c>
      <x:c r="J203" s="115" t="str">
        <x:v>31/01/2026</x:v>
      </x:c>
      <x:c r="K203" s="38" t="str">
        <x:v>Abono TF 532,846 (14/01/2026) Ref. F/232,781</x:v>
      </x:c>
      <x:c r="L203" s="38" t="n">
        <x:v>-1</x:v>
      </x:c>
      <x:c r="M203" s="38" t="str">
        <x:v>Unidad</x:v>
      </x:c>
      <x:c r="N203" s="38" t="n">
        <x:v>1</x:v>
      </x:c>
      <x:c r="O203" s="38" t="str">
        <x:v>Unidad</x:v>
      </x:c>
      <x:c r="P203" s="99" t="n">
        <x:v>5.1</x:v>
      </x:c>
      <x:c r="Q203" s="114" t="n">
        <x:v>0.4</x:v>
      </x:c>
      <x:c r="R203" s="99" t="n">
        <x:v>-3.06</x:v>
      </x:c>
      <x:c r="S203" s="99" t="n">
        <x:f>IFERROR(R203/L203,P203*(1-Q203))</x:f>
        <x:v>3.06</x:v>
      </x:c>
      <x:c r="T203" s="114" t="n">
        <x:v>0.07</x:v>
      </x:c>
      <x:c r="U203" s="99" t="n">
        <x:f>S203*(1+T203)</x:f>
        <x:v>3.2742000000000004</x:v>
      </x:c>
      <x:c r="V203" s="99" t="n">
        <x:f>S203</x:f>
        <x:v>3.06</x:v>
      </x:c>
      <x:c r="W203" s="99" t="n">
        <x:f>V203-S203</x:f>
        <x:v>0</x:v>
      </x:c>
      <x:c r="X203" s="114" t="n">
        <x:f>IFERROR(W203/V203,0)</x:f>
        <x:v>0</x:v>
      </x:c>
      <x:c r="Y203" s="38" t="str">
        <x:v>Por unidad</x:v>
      </x:c>
      <x:c r="Z203" s="38" t="str">
        <x:f>IF(Y203="Botella / 3 instalaciones","Precio botella / 3",IF(Y203="Por rollo o metros proporcionales","Si se pasa rollo: rollo completo. Si se pasan metros: proporcional",Y203))</x:f>
        <x:v>Por unidad</x:v>
      </x:c>
      <x:c r="AA203" s="38" t="n">
        <x:v>1</x:v>
      </x:c>
      <x:c r="AB203" s="38" t="str"/>
      <x:c r="AC203" s="38" t="str"/>
      <x:c r="AD203" s="116" t="str">
        <x:v>2026-06-30</x:v>
      </x:c>
      <x:c r="AE203" s="38" t="str">
        <x:v>Sí</x:v>
      </x:c>
      <x:c r="AF203" s="38" t="str">
        <x:v>Revisar categoría antes de usar en cálculo automático.</x:v>
      </x:c>
    </x:row>
    <x:row r="204">
      <x:c r="A204" s="38" t="str">
        <x:v>MAT-0203</x:v>
      </x:c>
      <x:c r="B204" s="38" t="str">
        <x:v>Sí</x:v>
      </x:c>
      <x:c r="C204" s="38" t="str">
        <x:v>Pequeño material</x:v>
      </x:c>
      <x:c r="D204" s="38" t="str">
        <x:v>Consumible</x:v>
      </x:c>
      <x:c r="E204" s="38" t="str">
        <x:v>Cinta Aluminio Rollo 45 Mt.</x:v>
      </x:c>
      <x:c r="F204" s="38" t="str">
        <x:v>CINTA ALUMINIO ROLLO 45 MT.</x:v>
      </x:c>
      <x:c r="G204" s="38" t="str">
        <x:v>ALP 50 MICRAS 75MM</x:v>
      </x:c>
      <x:c r="H204" s="38" t="str">
        <x:v>Sánchez Arencibia, S.A.</x:v>
      </x:c>
      <x:c r="I204" s="38" t="str">
        <x:v>Factura F/232,781</x:v>
      </x:c>
      <x:c r="J204" s="115" t="str">
        <x:v>31/01/2026</x:v>
      </x:c>
      <x:c r="K204" s="38" t="str">
        <x:v>Albarán TF 532,847 (14/01/2026)</x:v>
      </x:c>
      <x:c r="L204" s="38" t="n">
        <x:v>2</x:v>
      </x:c>
      <x:c r="M204" s="38" t="str">
        <x:v>Rollo</x:v>
      </x:c>
      <x:c r="N204" s="38" t="n">
        <x:v>45</x:v>
      </x:c>
      <x:c r="O204" s="38" t="str">
        <x:v>Metro</x:v>
      </x:c>
      <x:c r="P204" s="99" t="n">
        <x:v>9.43</x:v>
      </x:c>
      <x:c r="Q204" s="114" t="n">
        <x:v>0.25</x:v>
      </x:c>
      <x:c r="R204" s="99" t="n">
        <x:v>14.15</x:v>
      </x:c>
      <x:c r="S204" s="99" t="n">
        <x:f>IFERROR(R204/L204,P204*(1-Q204))</x:f>
        <x:v>7.075</x:v>
      </x:c>
      <x:c r="T204" s="114" t="n">
        <x:v>0.07</x:v>
      </x:c>
      <x:c r="U204" s="99" t="n">
        <x:f>S204*(1+T204)</x:f>
        <x:v>7.570250000000001</x:v>
      </x:c>
      <x:c r="V204" s="99" t="n">
        <x:f>S204</x:f>
        <x:v>7.075</x:v>
      </x:c>
      <x:c r="W204" s="99" t="n">
        <x:f>V204-S204</x:f>
        <x:v>0</x:v>
      </x:c>
      <x:c r="X204" s="114" t="n">
        <x:f>IFERROR(W204/V204,0)</x:f>
        <x:v>0</x:v>
      </x:c>
      <x:c r="Y204" s="38" t="str">
        <x:v>Por rollo o metros proporcionales</x:v>
      </x:c>
      <x:c r="Z204" s="38" t="str">
        <x:f>IF(Y204="Botella / 3 instalaciones","Precio botella / 3",IF(Y204="Por rollo o metros proporcionales","Si se pasa rollo: rollo completo. Si se pasan metros: proporcional",Y204))</x:f>
        <x:v>Si se pasa rollo: rollo completo. Si se pasan metros: proporcional</x:v>
      </x:c>
      <x:c r="AA204" s="38" t="n">
        <x:v>45</x:v>
      </x:c>
      <x:c r="AB204" s="38" t="str">
        <x:v>Sánchez Arencibia, S.A.</x:v>
      </x:c>
      <x:c r="AC204" s="38" t="str">
        <x:v>Media</x:v>
      </x:c>
      <x:c r="AD204" s="116" t="str">
        <x:v>2026-06-30</x:v>
      </x:c>
      <x:c r="AE204" s="38" t="str">
        <x:v>No</x:v>
      </x:c>
      <x:c r="AF204" s="38" t="str">
        <x:v>Comparativa orientativa: revisar ficha/medida antes de decidir proveedor.</x:v>
      </x:c>
    </x:row>
    <x:row r="205">
      <x:c r="A205" s="38" t="str">
        <x:v>MAT-0204</x:v>
      </x:c>
      <x:c r="B205" s="38" t="str">
        <x:v>Sí</x:v>
      </x:c>
      <x:c r="C205" s="38" t="str">
        <x:v>Sin clasificar</x:v>
      </x:c>
      <x:c r="D205" s="38" t="str"/>
      <x:c r="E205" s="38" t="str">
        <x:v>Tuerca Hexagonal Bup M10</x:v>
      </x:c>
      <x:c r="F205" s="38" t="str">
        <x:v>TUERCA HEXAGONAL BUP M10</x:v>
      </x:c>
      <x:c r="G205" s="38" t="str">
        <x:v>61281010</x:v>
      </x:c>
      <x:c r="H205" s="38" t="str">
        <x:v>Sánchez Arencibia, S.A.</x:v>
      </x:c>
      <x:c r="I205" s="38" t="str">
        <x:v>Factura F/232,781</x:v>
      </x:c>
      <x:c r="J205" s="115" t="str">
        <x:v>31/01/2026</x:v>
      </x:c>
      <x:c r="K205" s="38" t="str">
        <x:v>Abono TF 532,848 (14/01/2026) Ref. F/232,230</x:v>
      </x:c>
      <x:c r="L205" s="38" t="n">
        <x:v>-8</x:v>
      </x:c>
      <x:c r="M205" s="38" t="str">
        <x:v>Unidad</x:v>
      </x:c>
      <x:c r="N205" s="38" t="n">
        <x:v>1</x:v>
      </x:c>
      <x:c r="O205" s="38" t="str">
        <x:v>Unidad</x:v>
      </x:c>
      <x:c r="P205" s="99" t="n">
        <x:v>0.62</x:v>
      </x:c>
      <x:c r="Q205" s="114" t="n">
        <x:v>0.75</x:v>
      </x:c>
      <x:c r="R205" s="99" t="n">
        <x:v>-1.24</x:v>
      </x:c>
      <x:c r="S205" s="99" t="n">
        <x:f>IFERROR(R205/L205,P205*(1-Q205))</x:f>
        <x:v>0.155</x:v>
      </x:c>
      <x:c r="T205" s="114" t="n">
        <x:v>0.07</x:v>
      </x:c>
      <x:c r="U205" s="99" t="n">
        <x:f>S205*(1+T205)</x:f>
        <x:v>0.16585</x:v>
      </x:c>
      <x:c r="V205" s="99" t="n">
        <x:f>S205</x:f>
        <x:v>0.155</x:v>
      </x:c>
      <x:c r="W205" s="99" t="n">
        <x:f>V205-S205</x:f>
        <x:v>0</x:v>
      </x:c>
      <x:c r="X205" s="114" t="n">
        <x:f>IFERROR(W205/V205,0)</x:f>
        <x:v>0</x:v>
      </x:c>
      <x:c r="Y205" s="38" t="str">
        <x:v>Por unidad</x:v>
      </x:c>
      <x:c r="Z205" s="38" t="str">
        <x:f>IF(Y205="Botella / 3 instalaciones","Precio botella / 3",IF(Y205="Por rollo o metros proporcionales","Si se pasa rollo: rollo completo. Si se pasan metros: proporcional",Y205))</x:f>
        <x:v>Por unidad</x:v>
      </x:c>
      <x:c r="AA205" s="38" t="n">
        <x:v>1</x:v>
      </x:c>
      <x:c r="AB205" s="38" t="str"/>
      <x:c r="AC205" s="38" t="str"/>
      <x:c r="AD205" s="116" t="str">
        <x:v>2026-06-30</x:v>
      </x:c>
      <x:c r="AE205" s="38" t="str">
        <x:v>Sí</x:v>
      </x:c>
      <x:c r="AF205" s="38" t="str">
        <x:v>Revisar categoría antes de usar en cálculo automático.</x:v>
      </x:c>
    </x:row>
    <x:row r="206">
      <x:c r="A206" s="38" t="str">
        <x:v>MAT-0205</x:v>
      </x:c>
      <x:c r="B206" s="38" t="str">
        <x:v>Sí</x:v>
      </x:c>
      <x:c r="C206" s="38" t="str">
        <x:v>Sin clasificar</x:v>
      </x:c>
      <x:c r="D206" s="38" t="str"/>
      <x:c r="E206" s="38" t="str">
        <x:v>Tuerca Bup Hammerfix M8</x:v>
      </x:c>
      <x:c r="F206" s="38" t="str">
        <x:v>TUERCA BUP HAMMERFIX M8</x:v>
      </x:c>
      <x:c r="G206" s="38" t="str">
        <x:v>665185108</x:v>
      </x:c>
      <x:c r="H206" s="38" t="str">
        <x:v>Sánchez Arencibia, S.A.</x:v>
      </x:c>
      <x:c r="I206" s="38" t="str">
        <x:v>Factura F/232,781</x:v>
      </x:c>
      <x:c r="J206" s="115" t="str">
        <x:v>31/01/2026</x:v>
      </x:c>
      <x:c r="K206" s="38" t="str">
        <x:v>Abono TF 532,848 (14/01/2026) Ref. F/232,230</x:v>
      </x:c>
      <x:c r="L206" s="38" t="n">
        <x:v>-4</x:v>
      </x:c>
      <x:c r="M206" s="38" t="str">
        <x:v>Unidad</x:v>
      </x:c>
      <x:c r="N206" s="38" t="n">
        <x:v>1</x:v>
      </x:c>
      <x:c r="O206" s="38" t="str">
        <x:v>Unidad</x:v>
      </x:c>
      <x:c r="P206" s="99" t="n">
        <x:v>4.34</x:v>
      </x:c>
      <x:c r="Q206" s="114" t="n">
        <x:v>0.75</x:v>
      </x:c>
      <x:c r="R206" s="99" t="n">
        <x:v>-4.34</x:v>
      </x:c>
      <x:c r="S206" s="99" t="n">
        <x:f>IFERROR(R206/L206,P206*(1-Q206))</x:f>
        <x:v>1.085</x:v>
      </x:c>
      <x:c r="T206" s="114" t="n">
        <x:v>0.07</x:v>
      </x:c>
      <x:c r="U206" s="99" t="n">
        <x:f>S206*(1+T206)</x:f>
        <x:v>1.16095</x:v>
      </x:c>
      <x:c r="V206" s="99" t="n">
        <x:f>S206</x:f>
        <x:v>1.085</x:v>
      </x:c>
      <x:c r="W206" s="99" t="n">
        <x:f>V206-S206</x:f>
        <x:v>0</x:v>
      </x:c>
      <x:c r="X206" s="114" t="n">
        <x:f>IFERROR(W206/V206,0)</x:f>
        <x:v>0</x:v>
      </x:c>
      <x:c r="Y206" s="38" t="str">
        <x:v>Por unidad</x:v>
      </x:c>
      <x:c r="Z206" s="38" t="str">
        <x:f>IF(Y206="Botella / 3 instalaciones","Precio botella / 3",IF(Y206="Por rollo o metros proporcionales","Si se pasa rollo: rollo completo. Si se pasan metros: proporcional",Y206))</x:f>
        <x:v>Por unidad</x:v>
      </x:c>
      <x:c r="AA206" s="38" t="n">
        <x:v>1</x:v>
      </x:c>
      <x:c r="AB206" s="38" t="str"/>
      <x:c r="AC206" s="38" t="str"/>
      <x:c r="AD206" s="116" t="str">
        <x:v>2026-06-30</x:v>
      </x:c>
      <x:c r="AE206" s="38" t="str">
        <x:v>Sí</x:v>
      </x:c>
      <x:c r="AF206" s="38" t="str">
        <x:v>Revisar categoría antes de usar en cálculo automático.</x:v>
      </x:c>
    </x:row>
    <x:row r="207">
      <x:c r="A207" s="38" t="str">
        <x:v>MAT-0206</x:v>
      </x:c>
      <x:c r="B207" s="38" t="str">
        <x:v>Sí</x:v>
      </x:c>
      <x:c r="C207" s="38" t="str">
        <x:v>Tubería frigorífica</x:v>
      </x:c>
      <x:c r="D207" s="38" t="str">
        <x:v>Cobre frigorífico aislado</x:v>
      </x:c>
      <x:c r="E207" s="38" t="str">
        <x:v>Tubo Cobre Aisl. 20 Mts</x:v>
      </x:c>
      <x:c r="F207" s="38" t="str">
        <x:v>TUBO COBRE AISL. 20 MTS</x:v>
      </x:c>
      <x:c r="G207" s="38" t="str">
        <x:v>BIPOL. 1/4+1/2</x:v>
      </x:c>
      <x:c r="H207" s="38" t="str">
        <x:v>Sánchez Arencibia, S.A.</x:v>
      </x:c>
      <x:c r="I207" s="38" t="str">
        <x:v>Factura F/232,781</x:v>
      </x:c>
      <x:c r="J207" s="115" t="str">
        <x:v>31/01/2026</x:v>
      </x:c>
      <x:c r="K207" s="38" t="str">
        <x:v>Abono TF 532,994 (16/01/2026) Ref. F/232,781</x:v>
      </x:c>
      <x:c r="L207" s="38" t="n">
        <x:v>-1</x:v>
      </x:c>
      <x:c r="M207" s="38" t="str">
        <x:v>Rollo</x:v>
      </x:c>
      <x:c r="N207" s="38" t="n">
        <x:v>20</x:v>
      </x:c>
      <x:c r="O207" s="38" t="str">
        <x:v>Metro</x:v>
      </x:c>
      <x:c r="P207" s="99" t="n">
        <x:v>156</x:v>
      </x:c>
      <x:c r="Q207" s="114" t="n">
        <x:v>0.3</x:v>
      </x:c>
      <x:c r="R207" s="99" t="n">
        <x:v>-109.2</x:v>
      </x:c>
      <x:c r="S207" s="99" t="n">
        <x:f>IFERROR(R207/L207,P207*(1-Q207))</x:f>
        <x:v>109.2</x:v>
      </x:c>
      <x:c r="T207" s="114" t="n">
        <x:v>0.07</x:v>
      </x:c>
      <x:c r="U207" s="99" t="n">
        <x:f>S207*(1+T207)</x:f>
        <x:v>116.84400000000001</x:v>
      </x:c>
      <x:c r="V207" s="99" t="n">
        <x:f>S207</x:f>
        <x:v>109.2</x:v>
      </x:c>
      <x:c r="W207" s="99" t="n">
        <x:f>V207-S207</x:f>
        <x:v>0</x:v>
      </x:c>
      <x:c r="X207" s="114" t="n">
        <x:f>IFERROR(W207/V207,0)</x:f>
        <x:v>0</x:v>
      </x:c>
      <x:c r="Y207" s="38" t="str">
        <x:v>Por rollo o metros proporcionales</x:v>
      </x:c>
      <x:c r="Z207" s="38" t="str">
        <x:f>IF(Y207="Botella / 3 instalaciones","Precio botella / 3",IF(Y207="Por rollo o metros proporcionales","Si se pasa rollo: rollo completo. Si se pasan metros: proporcional",Y207))</x:f>
        <x:v>Si se pasa rollo: rollo completo. Si se pasan metros: proporcional</x:v>
      </x:c>
      <x:c r="AA207" s="38" t="n">
        <x:v>20</x:v>
      </x:c>
      <x:c r="AB207" s="38" t="str"/>
      <x:c r="AC207" s="38" t="str"/>
      <x:c r="AD207" s="116" t="str">
        <x:v>2026-06-30</x:v>
      </x:c>
      <x:c r="AE207" s="38" t="str">
        <x:v>No</x:v>
      </x:c>
      <x:c r="AF207" s="38" t="str"/>
    </x:row>
    <x:row r="208">
      <x:c r="A208" s="38" t="str">
        <x:v>MAT-0207</x:v>
      </x:c>
      <x:c r="B208" s="38" t="str">
        <x:v>Sí</x:v>
      </x:c>
      <x:c r="C208" s="38" t="str">
        <x:v>Tubería frigorífica</x:v>
      </x:c>
      <x:c r="D208" s="38" t="str">
        <x:v>Cobre frigorífico aislado</x:v>
      </x:c>
      <x:c r="E208" s="38" t="str">
        <x:v>Tubo Cobre Aisl. 25 Mts</x:v>
      </x:c>
      <x:c r="F208" s="38" t="str">
        <x:v>TUBO COBRE AISL. 25 MTS</x:v>
      </x:c>
      <x:c r="G208" s="38" t="str">
        <x:v>ISOP. 1/2</x:v>
      </x:c>
      <x:c r="H208" s="38" t="str">
        <x:v>Sánchez Arencibia, S.A.</x:v>
      </x:c>
      <x:c r="I208" s="38" t="str">
        <x:v>Factura F/232,781</x:v>
      </x:c>
      <x:c r="J208" s="115" t="str">
        <x:v>31/01/2026</x:v>
      </x:c>
      <x:c r="K208" s="38" t="str">
        <x:v>Abono TF 532,995 (16/01/2026) Ref. F/231,689</x:v>
      </x:c>
      <x:c r="L208" s="38" t="n">
        <x:v>-1</x:v>
      </x:c>
      <x:c r="M208" s="38" t="str">
        <x:v>Unidad</x:v>
      </x:c>
      <x:c r="N208" s="38" t="n">
        <x:v>1</x:v>
      </x:c>
      <x:c r="O208" s="38" t="str">
        <x:v>Unidad</x:v>
      </x:c>
      <x:c r="P208" s="99" t="n">
        <x:v>117.82</x:v>
      </x:c>
      <x:c r="Q208" s="114" t="n">
        <x:v>0.3</x:v>
      </x:c>
      <x:c r="R208" s="99" t="n">
        <x:v>-82.47</x:v>
      </x:c>
      <x:c r="S208" s="99" t="n">
        <x:f>IFERROR(R208/L208,P208*(1-Q208))</x:f>
        <x:v>82.47</x:v>
      </x:c>
      <x:c r="T208" s="114" t="n">
        <x:v>0.07</x:v>
      </x:c>
      <x:c r="U208" s="99" t="n">
        <x:f>S208*(1+T208)</x:f>
        <x:v>88.2429</x:v>
      </x:c>
      <x:c r="V208" s="99" t="n">
        <x:f>S208</x:f>
        <x:v>82.47</x:v>
      </x:c>
      <x:c r="W208" s="99" t="n">
        <x:f>V208-S208</x:f>
        <x:v>0</x:v>
      </x:c>
      <x:c r="X208" s="114" t="n">
        <x:f>IFERROR(W208/V208,0)</x:f>
        <x:v>0</x:v>
      </x:c>
      <x:c r="Y208" s="38" t="str">
        <x:v>Por unidad</x:v>
      </x:c>
      <x:c r="Z208" s="38" t="str">
        <x:f>IF(Y208="Botella / 3 instalaciones","Precio botella / 3",IF(Y208="Por rollo o metros proporcionales","Si se pasa rollo: rollo completo. Si se pasan metros: proporcional",Y208))</x:f>
        <x:v>Por unidad</x:v>
      </x:c>
      <x:c r="AA208" s="38" t="n">
        <x:v>1</x:v>
      </x:c>
      <x:c r="AB208" s="38" t="str"/>
      <x:c r="AC208" s="38" t="str"/>
      <x:c r="AD208" s="116" t="str">
        <x:v>2026-06-30</x:v>
      </x:c>
      <x:c r="AE208" s="38" t="str">
        <x:v>No</x:v>
      </x:c>
      <x:c r="AF208" s="38" t="str"/>
    </x:row>
    <x:row r="209">
      <x:c r="A209" s="38" t="str">
        <x:v>MAT-0208</x:v>
      </x:c>
      <x:c r="B209" s="38" t="str">
        <x:v>Sí</x:v>
      </x:c>
      <x:c r="C209" s="38" t="str">
        <x:v>Sin clasificar</x:v>
      </x:c>
      <x:c r="D209" s="38" t="str"/>
      <x:c r="E209" s="38" t="str">
        <x:v>Curva 90º</x:v>
      </x:c>
      <x:c r="F209" s="38" t="str">
        <x:v>CURVA 90º</x:v>
      </x:c>
      <x:c r="G209" s="38" t="str">
        <x:v>1-1/8</x:v>
      </x:c>
      <x:c r="H209" s="38" t="str">
        <x:v>Sánchez Arencibia, S.A.</x:v>
      </x:c>
      <x:c r="I209" s="38" t="str">
        <x:v>Factura F/232,781</x:v>
      </x:c>
      <x:c r="J209" s="115" t="str">
        <x:v>31/01/2026</x:v>
      </x:c>
      <x:c r="K209" s="38" t="str">
        <x:v>Abono TF 532,996 (16/01/2026) Ref. F/232,230</x:v>
      </x:c>
      <x:c r="L209" s="38" t="n">
        <x:v>-5</x:v>
      </x:c>
      <x:c r="M209" s="38" t="str">
        <x:v>Unidad</x:v>
      </x:c>
      <x:c r="N209" s="38" t="n">
        <x:v>1</x:v>
      </x:c>
      <x:c r="O209" s="38" t="str">
        <x:v>Unidad</x:v>
      </x:c>
      <x:c r="P209" s="99" t="n">
        <x:v>4.59</x:v>
      </x:c>
      <x:c r="Q209" s="114" t="n">
        <x:v>0.34</x:v>
      </x:c>
      <x:c r="R209" s="99" t="n">
        <x:v>-15.15</x:v>
      </x:c>
      <x:c r="S209" s="99" t="n">
        <x:f>IFERROR(R209/L209,P209*(1-Q209))</x:f>
        <x:v>3.0300000000000002</x:v>
      </x:c>
      <x:c r="T209" s="114" t="n">
        <x:v>0.07</x:v>
      </x:c>
      <x:c r="U209" s="99" t="n">
        <x:f>S209*(1+T209)</x:f>
        <x:v>3.2421000000000006</x:v>
      </x:c>
      <x:c r="V209" s="99" t="n">
        <x:f>S209</x:f>
        <x:v>3.0300000000000002</x:v>
      </x:c>
      <x:c r="W209" s="99" t="n">
        <x:f>V209-S209</x:f>
        <x:v>0</x:v>
      </x:c>
      <x:c r="X209" s="114" t="n">
        <x:f>IFERROR(W209/V209,0)</x:f>
        <x:v>0</x:v>
      </x:c>
      <x:c r="Y209" s="38" t="str">
        <x:v>Por unidad</x:v>
      </x:c>
      <x:c r="Z209" s="38" t="str">
        <x:f>IF(Y209="Botella / 3 instalaciones","Precio botella / 3",IF(Y209="Por rollo o metros proporcionales","Si se pasa rollo: rollo completo. Si se pasan metros: proporcional",Y209))</x:f>
        <x:v>Por unidad</x:v>
      </x:c>
      <x:c r="AA209" s="38" t="n">
        <x:v>1</x:v>
      </x:c>
      <x:c r="AB209" s="38" t="str"/>
      <x:c r="AC209" s="38" t="str"/>
      <x:c r="AD209" s="116" t="str">
        <x:v>2026-06-30</x:v>
      </x:c>
      <x:c r="AE209" s="38" t="str">
        <x:v>Sí</x:v>
      </x:c>
      <x:c r="AF209" s="38" t="str">
        <x:v>Revisar categoría antes de usar en cálculo automático.</x:v>
      </x:c>
    </x:row>
    <x:row r="210">
      <x:c r="A210" s="38" t="str">
        <x:v>MAT-0209</x:v>
      </x:c>
      <x:c r="B210" s="38" t="str">
        <x:v>Sí</x:v>
      </x:c>
      <x:c r="C210" s="38" t="str">
        <x:v>Conductos/Ventilación</x:v>
      </x:c>
      <x:c r="D210" s="38" t="str">
        <x:v>Conducto/accesorio</x:v>
      </x:c>
      <x:c r="E210" s="38" t="str">
        <x:v>Manguito Soldar</x:v>
      </x:c>
      <x:c r="F210" s="38" t="str">
        <x:v>MANGUITO SOLDAR</x:v>
      </x:c>
      <x:c r="G210" s="38" t="str">
        <x:v>1-1/8</x:v>
      </x:c>
      <x:c r="H210" s="38" t="str">
        <x:v>Sánchez Arencibia, S.A.</x:v>
      </x:c>
      <x:c r="I210" s="38" t="str">
        <x:v>Factura F/232,781</x:v>
      </x:c>
      <x:c r="J210" s="115" t="str">
        <x:v>31/01/2026</x:v>
      </x:c>
      <x:c r="K210" s="38" t="str">
        <x:v>Abono TF 532,996 (16/01/2026) Ref. F/232,230</x:v>
      </x:c>
      <x:c r="L210" s="38" t="n">
        <x:v>-4</x:v>
      </x:c>
      <x:c r="M210" s="38" t="str">
        <x:v>Unidad</x:v>
      </x:c>
      <x:c r="N210" s="38" t="n">
        <x:v>1</x:v>
      </x:c>
      <x:c r="O210" s="38" t="str">
        <x:v>Unidad</x:v>
      </x:c>
      <x:c r="P210" s="99" t="n">
        <x:v>2.14</x:v>
      </x:c>
      <x:c r="Q210" s="114" t="n">
        <x:v>0.34</x:v>
      </x:c>
      <x:c r="R210" s="99" t="n">
        <x:v>-5.65</x:v>
      </x:c>
      <x:c r="S210" s="99" t="n">
        <x:f>IFERROR(R210/L210,P210*(1-Q210))</x:f>
        <x:v>1.4125</x:v>
      </x:c>
      <x:c r="T210" s="114" t="n">
        <x:v>0.07</x:v>
      </x:c>
      <x:c r="U210" s="99" t="n">
        <x:f>S210*(1+T210)</x:f>
        <x:v>1.5113750000000001</x:v>
      </x:c>
      <x:c r="V210" s="99" t="n">
        <x:f>S210</x:f>
        <x:v>1.4125</x:v>
      </x:c>
      <x:c r="W210" s="99" t="n">
        <x:f>V210-S210</x:f>
        <x:v>0</x:v>
      </x:c>
      <x:c r="X210" s="114" t="n">
        <x:f>IFERROR(W210/V210,0)</x:f>
        <x:v>0</x:v>
      </x:c>
      <x:c r="Y210" s="38" t="str">
        <x:v>Por unidad</x:v>
      </x:c>
      <x:c r="Z210" s="38" t="str">
        <x:f>IF(Y210="Botella / 3 instalaciones","Precio botella / 3",IF(Y210="Por rollo o metros proporcionales","Si se pasa rollo: rollo completo. Si se pasan metros: proporcional",Y210))</x:f>
        <x:v>Por unidad</x:v>
      </x:c>
      <x:c r="AA210" s="38" t="n">
        <x:v>1</x:v>
      </x:c>
      <x:c r="AB210" s="38" t="str"/>
      <x:c r="AC210" s="38" t="str"/>
      <x:c r="AD210" s="116" t="str">
        <x:v>2026-06-30</x:v>
      </x:c>
      <x:c r="AE210" s="38" t="str">
        <x:v>No</x:v>
      </x:c>
      <x:c r="AF210" s="38" t="str"/>
    </x:row>
    <x:row r="211">
      <x:c r="A211" s="38" t="str">
        <x:v>MAT-0210</x:v>
      </x:c>
      <x:c r="B211" s="38" t="str">
        <x:v>Sí</x:v>
      </x:c>
      <x:c r="C211" s="38" t="str">
        <x:v>Sin clasificar</x:v>
      </x:c>
      <x:c r="D211" s="38" t="str"/>
      <x:c r="E211" s="38" t="str">
        <x:v>Codo Soldar</x:v>
      </x:c>
      <x:c r="F211" s="38" t="str">
        <x:v>CODO SOLDAR</x:v>
      </x:c>
      <x:c r="G211" s="38" t="str">
        <x:v>1-1/8</x:v>
      </x:c>
      <x:c r="H211" s="38" t="str">
        <x:v>Sánchez Arencibia, S.A.</x:v>
      </x:c>
      <x:c r="I211" s="38" t="str">
        <x:v>Factura F/232,781</x:v>
      </x:c>
      <x:c r="J211" s="115" t="str">
        <x:v>31/01/2026</x:v>
      </x:c>
      <x:c r="K211" s="38" t="str">
        <x:v>Abono TF 532,996 (16/01/2026) Ref. F/232,230</x:v>
      </x:c>
      <x:c r="L211" s="38" t="n">
        <x:v>-3</x:v>
      </x:c>
      <x:c r="M211" s="38" t="str">
        <x:v>Unidad</x:v>
      </x:c>
      <x:c r="N211" s="38" t="n">
        <x:v>1</x:v>
      </x:c>
      <x:c r="O211" s="38" t="str">
        <x:v>Unidad</x:v>
      </x:c>
      <x:c r="P211" s="99" t="n">
        <x:v>3.08</x:v>
      </x:c>
      <x:c r="Q211" s="114" t="n">
        <x:v>0.34</x:v>
      </x:c>
      <x:c r="R211" s="99" t="n">
        <x:v>-6.1</x:v>
      </x:c>
      <x:c r="S211" s="99" t="n">
        <x:f>IFERROR(R211/L211,P211*(1-Q211))</x:f>
        <x:v>2.033333333333333</x:v>
      </x:c>
      <x:c r="T211" s="114" t="n">
        <x:v>0.07</x:v>
      </x:c>
      <x:c r="U211" s="99" t="n">
        <x:f>S211*(1+T211)</x:f>
        <x:v>2.175666666666667</x:v>
      </x:c>
      <x:c r="V211" s="99" t="n">
        <x:f>S211</x:f>
        <x:v>2.033333333333333</x:v>
      </x:c>
      <x:c r="W211" s="99" t="n">
        <x:f>V211-S211</x:f>
        <x:v>0</x:v>
      </x:c>
      <x:c r="X211" s="114" t="n">
        <x:f>IFERROR(W211/V211,0)</x:f>
        <x:v>0</x:v>
      </x:c>
      <x:c r="Y211" s="38" t="str">
        <x:v>Por unidad</x:v>
      </x:c>
      <x:c r="Z211" s="38" t="str">
        <x:f>IF(Y211="Botella / 3 instalaciones","Precio botella / 3",IF(Y211="Por rollo o metros proporcionales","Si se pasa rollo: rollo completo. Si se pasan metros: proporcional",Y211))</x:f>
        <x:v>Por unidad</x:v>
      </x:c>
      <x:c r="AA211" s="38" t="n">
        <x:v>1</x:v>
      </x:c>
      <x:c r="AB211" s="38" t="str"/>
      <x:c r="AC211" s="38" t="str"/>
      <x:c r="AD211" s="116" t="str">
        <x:v>2026-06-30</x:v>
      </x:c>
      <x:c r="AE211" s="38" t="str">
        <x:v>Sí</x:v>
      </x:c>
      <x:c r="AF211" s="38" t="str">
        <x:v>Revisar categoría antes de usar en cálculo automático.</x:v>
      </x:c>
    </x:row>
    <x:row r="212">
      <x:c r="A212" s="38" t="str">
        <x:v>MAT-0211</x:v>
      </x:c>
      <x:c r="B212" s="38" t="str">
        <x:v>Sí</x:v>
      </x:c>
      <x:c r="C212" s="38" t="str">
        <x:v>Sin clasificar</x:v>
      </x:c>
      <x:c r="D212" s="38" t="str"/>
      <x:c r="E212" s="38" t="str">
        <x:v>Filtro Foam (Plancha 2 M2.)</x:v>
      </x:c>
      <x:c r="F212" s="38" t="str">
        <x:v>FILTRO FOAM (PLANCHA 2 M2.)</x:v>
      </x:c>
      <x:c r="G212" s="38" t="str">
        <x:v>FOAM-20 (15 MM)</x:v>
      </x:c>
      <x:c r="H212" s="38" t="str">
        <x:v>Sánchez Arencibia, S.A.</x:v>
      </x:c>
      <x:c r="I212" s="38" t="str">
        <x:v>Factura F/232,781</x:v>
      </x:c>
      <x:c r="J212" s="115" t="str">
        <x:v>31/01/2026</x:v>
      </x:c>
      <x:c r="K212" s="38" t="str">
        <x:v>Albarán TF 533,286 (23/01/2026)</x:v>
      </x:c>
      <x:c r="L212" s="38" t="n">
        <x:v>4</x:v>
      </x:c>
      <x:c r="M212" s="38" t="str">
        <x:v>m²</x:v>
      </x:c>
      <x:c r="N212" s="38" t="n">
        <x:v>1</x:v>
      </x:c>
      <x:c r="O212" s="38" t="str">
        <x:v>m²</x:v>
      </x:c>
      <x:c r="P212" s="99" t="n">
        <x:v>46.55</x:v>
      </x:c>
      <x:c r="Q212" s="114" t="n">
        <x:v>0.4</x:v>
      </x:c>
      <x:c r="R212" s="99" t="n">
        <x:v>111.72</x:v>
      </x:c>
      <x:c r="S212" s="99" t="n">
        <x:f>IFERROR(R212/L212,P212*(1-Q212))</x:f>
        <x:v>27.93</x:v>
      </x:c>
      <x:c r="T212" s="114" t="n">
        <x:v>0.07</x:v>
      </x:c>
      <x:c r="U212" s="99" t="n">
        <x:f>S212*(1+T212)</x:f>
        <x:v>29.8851</x:v>
      </x:c>
      <x:c r="V212" s="99" t="n">
        <x:f>S212</x:f>
        <x:v>27.93</x:v>
      </x:c>
      <x:c r="W212" s="99" t="n">
        <x:f>V212-S212</x:f>
        <x:v>0</x:v>
      </x:c>
      <x:c r="X212" s="114" t="n">
        <x:f>IFERROR(W212/V212,0)</x:f>
        <x:v>0</x:v>
      </x:c>
      <x:c r="Y212" s="38" t="str">
        <x:v>Por unidad</x:v>
      </x:c>
      <x:c r="Z212" s="38" t="str">
        <x:f>IF(Y212="Botella / 3 instalaciones","Precio botella / 3",IF(Y212="Por rollo o metros proporcionales","Si se pasa rollo: rollo completo. Si se pasan metros: proporcional",Y212))</x:f>
        <x:v>Por unidad</x:v>
      </x:c>
      <x:c r="AA212" s="38" t="n">
        <x:v>1</x:v>
      </x:c>
      <x:c r="AB212" s="38" t="str"/>
      <x:c r="AC212" s="38" t="str"/>
      <x:c r="AD212" s="116" t="str">
        <x:v>2026-06-30</x:v>
      </x:c>
      <x:c r="AE212" s="38" t="str">
        <x:v>Sí</x:v>
      </x:c>
      <x:c r="AF212" s="38" t="str">
        <x:v>Revisar categoría antes de usar en cálculo automático.</x:v>
      </x:c>
    </x:row>
    <x:row r="213">
      <x:c r="A213" s="38" t="str">
        <x:v>MAT-0212</x:v>
      </x:c>
      <x:c r="B213" s="38" t="str">
        <x:v>Sí</x:v>
      </x:c>
      <x:c r="C213" s="38" t="str">
        <x:v>Tubería frigorífica</x:v>
      </x:c>
      <x:c r="D213" s="38" t="str">
        <x:v>Cobre frigorífico aislado</x:v>
      </x:c>
      <x:c r="E213" s="38" t="str">
        <x:v>Tubo Cobre Aisl 20 Mt</x:v>
      </x:c>
      <x:c r="F213" s="38" t="str">
        <x:v>TUBO COBRE AISL 20 MT</x:v>
      </x:c>
      <x:c r="G213" s="38" t="str">
        <x:v>BIPOL. 1/4+1/2</x:v>
      </x:c>
      <x:c r="H213" s="38" t="str">
        <x:v>Sánchez Arencibia, S.A.</x:v>
      </x:c>
      <x:c r="I213" s="38" t="str">
        <x:v>Factura F/232,781</x:v>
      </x:c>
      <x:c r="J213" s="115" t="str">
        <x:v>31/01/2026</x:v>
      </x:c>
      <x:c r="K213" s="38" t="str">
        <x:v>Albarán TF 533,564 (29/01/2026)</x:v>
      </x:c>
      <x:c r="L213" s="38" t="n">
        <x:v>1</x:v>
      </x:c>
      <x:c r="M213" s="38" t="str">
        <x:v>Rollo</x:v>
      </x:c>
      <x:c r="N213" s="38" t="n">
        <x:v>20</x:v>
      </x:c>
      <x:c r="O213" s="38" t="str">
        <x:v>Metro</x:v>
      </x:c>
      <x:c r="P213" s="99" t="n">
        <x:v>156</x:v>
      </x:c>
      <x:c r="Q213" s="114" t="n">
        <x:v>0.3</x:v>
      </x:c>
      <x:c r="R213" s="99" t="n">
        <x:v>109.2</x:v>
      </x:c>
      <x:c r="S213" s="99" t="n">
        <x:f>IFERROR(R213/L213,P213*(1-Q213))</x:f>
        <x:v>109.2</x:v>
      </x:c>
      <x:c r="T213" s="114" t="n">
        <x:v>0.07</x:v>
      </x:c>
      <x:c r="U213" s="99" t="n">
        <x:f>S213*(1+T213)</x:f>
        <x:v>116.84400000000001</x:v>
      </x:c>
      <x:c r="V213" s="99" t="n">
        <x:f>S213</x:f>
        <x:v>109.2</x:v>
      </x:c>
      <x:c r="W213" s="99" t="n">
        <x:f>V213-S213</x:f>
        <x:v>0</x:v>
      </x:c>
      <x:c r="X213" s="114" t="n">
        <x:f>IFERROR(W213/V213,0)</x:f>
        <x:v>0</x:v>
      </x:c>
      <x:c r="Y213" s="38" t="str">
        <x:v>Por rollo o metros proporcionales</x:v>
      </x:c>
      <x:c r="Z213" s="38" t="str">
        <x:f>IF(Y213="Botella / 3 instalaciones","Precio botella / 3",IF(Y213="Por rollo o metros proporcionales","Si se pasa rollo: rollo completo. Si se pasan metros: proporcional",Y213))</x:f>
        <x:v>Si se pasa rollo: rollo completo. Si se pasan metros: proporcional</x:v>
      </x:c>
      <x:c r="AA213" s="38" t="n">
        <x:v>20</x:v>
      </x:c>
      <x:c r="AB213" s="38" t="str"/>
      <x:c r="AC213" s="38" t="str"/>
      <x:c r="AD213" s="116" t="str">
        <x:v>2026-06-30</x:v>
      </x:c>
      <x:c r="AE213" s="38" t="str">
        <x:v>No</x:v>
      </x:c>
      <x:c r="AF213" s="38" t="str"/>
    </x:row>
    <x:row r="214">
      <x:c r="A214" s="38" t="str">
        <x:v>MAT-0213</x:v>
      </x:c>
      <x:c r="B214" s="38" t="str">
        <x:v>Sí</x:v>
      </x:c>
      <x:c r="C214" s="38" t="str">
        <x:v>Tubería frigorífica</x:v>
      </x:c>
      <x:c r="D214" s="38" t="str">
        <x:v>Cobre frigorífico aislado</x:v>
      </x:c>
      <x:c r="E214" s="38" t="str">
        <x:v>Tubo Cobre Aisl 20 Mt</x:v>
      </x:c>
      <x:c r="F214" s="38" t="str">
        <x:v>TUBO COBRE AISL 20 MT</x:v>
      </x:c>
      <x:c r="G214" s="38" t="str">
        <x:v>BIPOL. 1/4+3/8</x:v>
      </x:c>
      <x:c r="H214" s="38" t="str">
        <x:v>Sánchez Arencibia, S.A.</x:v>
      </x:c>
      <x:c r="I214" s="38" t="str">
        <x:v>Factura F/232,781</x:v>
      </x:c>
      <x:c r="J214" s="115" t="str">
        <x:v>31/01/2026</x:v>
      </x:c>
      <x:c r="K214" s="38" t="str">
        <x:v>Albarán TF 533,564 (29/01/2026)</x:v>
      </x:c>
      <x:c r="L214" s="38" t="n">
        <x:v>1</x:v>
      </x:c>
      <x:c r="M214" s="38" t="str">
        <x:v>Rollo</x:v>
      </x:c>
      <x:c r="N214" s="38" t="n">
        <x:v>20</x:v>
      </x:c>
      <x:c r="O214" s="38" t="str">
        <x:v>Metro</x:v>
      </x:c>
      <x:c r="P214" s="99" t="n">
        <x:v>132.3</x:v>
      </x:c>
      <x:c r="Q214" s="114" t="n">
        <x:v>0.3</x:v>
      </x:c>
      <x:c r="R214" s="99" t="n">
        <x:v>92.61</x:v>
      </x:c>
      <x:c r="S214" s="99" t="n">
        <x:f>IFERROR(R214/L214,P214*(1-Q214))</x:f>
        <x:v>92.61</x:v>
      </x:c>
      <x:c r="T214" s="114" t="n">
        <x:v>0.07</x:v>
      </x:c>
      <x:c r="U214" s="99" t="n">
        <x:f>S214*(1+T214)</x:f>
        <x:v>99.09270000000001</x:v>
      </x:c>
      <x:c r="V214" s="99" t="n">
        <x:f>S214</x:f>
        <x:v>92.61</x:v>
      </x:c>
      <x:c r="W214" s="99" t="n">
        <x:f>V214-S214</x:f>
        <x:v>0</x:v>
      </x:c>
      <x:c r="X214" s="114" t="n">
        <x:f>IFERROR(W214/V214,0)</x:f>
        <x:v>0</x:v>
      </x:c>
      <x:c r="Y214" s="38" t="str">
        <x:v>Por rollo o metros proporcionales</x:v>
      </x:c>
      <x:c r="Z214" s="38" t="str">
        <x:f>IF(Y214="Botella / 3 instalaciones","Precio botella / 3",IF(Y214="Por rollo o metros proporcionales","Si se pasa rollo: rollo completo. Si se pasan metros: proporcional",Y214))</x:f>
        <x:v>Si se pasa rollo: rollo completo. Si se pasan metros: proporcional</x:v>
      </x:c>
      <x:c r="AA214" s="38" t="n">
        <x:v>20</x:v>
      </x:c>
      <x:c r="AB214" s="38" t="str"/>
      <x:c r="AC214" s="38" t="str"/>
      <x:c r="AD214" s="116" t="str">
        <x:v>2026-06-30</x:v>
      </x:c>
      <x:c r="AE214" s="38" t="str">
        <x:v>No</x:v>
      </x:c>
      <x:c r="AF214" s="38" t="str"/>
    </x:row>
    <x:row r="215">
      <x:c r="A215" s="38" t="str">
        <x:v>MAT-0214</x:v>
      </x:c>
      <x:c r="B215" s="38" t="str">
        <x:v>Sí</x:v>
      </x:c>
      <x:c r="C215" s="38" t="str">
        <x:v>Canaleta</x:v>
      </x:c>
      <x:c r="D215" s="38" t="str">
        <x:v>Canaleta tramo</x:v>
      </x:c>
      <x:c r="E215" s="38" t="str">
        <x:v>Canaleta 125X75 2 Mts.</x:v>
      </x:c>
      <x:c r="F215" s="38" t="str">
        <x:v>CANALETA 125X75 2 MTS.</x:v>
      </x:c>
      <x:c r="G215" s="38" t="str">
        <x:v>9803-001-08F</x:v>
      </x:c>
      <x:c r="H215" s="38" t="str">
        <x:v>Sánchez Arencibia, S.A.</x:v>
      </x:c>
      <x:c r="I215" s="38" t="str">
        <x:v>Factura F/232,230</x:v>
      </x:c>
      <x:c r="J215" s="115" t="str">
        <x:v>31/12/2025</x:v>
      </x:c>
      <x:c r="K215" s="38" t="str">
        <x:v>Albarán TF 531,403 (04/12/2025)</x:v>
      </x:c>
      <x:c r="L215" s="38" t="n">
        <x:v>1</x:v>
      </x:c>
      <x:c r="M215" s="38" t="str">
        <x:v>Metro</x:v>
      </x:c>
      <x:c r="N215" s="38" t="n">
        <x:v>1</x:v>
      </x:c>
      <x:c r="O215" s="38" t="str">
        <x:v>Metro</x:v>
      </x:c>
      <x:c r="P215" s="99" t="n">
        <x:v>20.68</x:v>
      </x:c>
      <x:c r="Q215" s="114" t="n">
        <x:v>0.4</x:v>
      </x:c>
      <x:c r="R215" s="99" t="n">
        <x:v>12.41</x:v>
      </x:c>
      <x:c r="S215" s="99" t="n">
        <x:f>IFERROR(R215/L215,P215*(1-Q215))</x:f>
        <x:v>12.41</x:v>
      </x:c>
      <x:c r="T215" s="114" t="n">
        <x:v>0.07</x:v>
      </x:c>
      <x:c r="U215" s="99" t="n">
        <x:f>S215*(1+T215)</x:f>
        <x:v>13.2787</x:v>
      </x:c>
      <x:c r="V215" s="99" t="n">
        <x:f>S215</x:f>
        <x:v>12.41</x:v>
      </x:c>
      <x:c r="W215" s="99" t="n">
        <x:f>V215-S215</x:f>
        <x:v>0</x:v>
      </x:c>
      <x:c r="X215" s="114" t="n">
        <x:f>IFERROR(W215/V215,0)</x:f>
        <x:v>0</x:v>
      </x:c>
      <x:c r="Y215" s="38" t="str">
        <x:v>Por metros</x:v>
      </x:c>
      <x:c r="Z215" s="38" t="str">
        <x:f>IF(Y215="Botella / 3 instalaciones","Precio botella / 3",IF(Y215="Por rollo o metros proporcionales","Si se pasa rollo: rollo completo. Si se pasan metros: proporcional",Y215))</x:f>
        <x:v>Por metros</x:v>
      </x:c>
      <x:c r="AA215" s="38" t="n">
        <x:v>1</x:v>
      </x:c>
      <x:c r="AB215" s="38" t="str"/>
      <x:c r="AC215" s="38" t="str"/>
      <x:c r="AD215" s="116" t="str">
        <x:v>2026-06-30</x:v>
      </x:c>
      <x:c r="AE215" s="38" t="str">
        <x:v>No</x:v>
      </x:c>
      <x:c r="AF215" s="38" t="str"/>
    </x:row>
    <x:row r="216">
      <x:c r="A216" s="38" t="str">
        <x:v>MAT-0215</x:v>
      </x:c>
      <x:c r="B216" s="38" t="str">
        <x:v>Sí</x:v>
      </x:c>
      <x:c r="C216" s="38" t="str">
        <x:v>Sin clasificar</x:v>
      </x:c>
      <x:c r="D216" s="38" t="str"/>
      <x:c r="E216" s="38" t="str">
        <x:v>Curva Plana 125X75</x:v>
      </x:c>
      <x:c r="F216" s="38" t="str">
        <x:v>CURVA PLANA 125X75</x:v>
      </x:c>
      <x:c r="G216" s="38" t="str">
        <x:v>9803-115-08</x:v>
      </x:c>
      <x:c r="H216" s="38" t="str">
        <x:v>Sánchez Arencibia, S.A.</x:v>
      </x:c>
      <x:c r="I216" s="38" t="str">
        <x:v>Factura F/232,230</x:v>
      </x:c>
      <x:c r="J216" s="115" t="str">
        <x:v>31/12/2025</x:v>
      </x:c>
      <x:c r="K216" s="38" t="str">
        <x:v>Albarán TF 531,403 (04/12/2025)</x:v>
      </x:c>
      <x:c r="L216" s="38" t="n">
        <x:v>1</x:v>
      </x:c>
      <x:c r="M216" s="38" t="str">
        <x:v>Unidad</x:v>
      </x:c>
      <x:c r="N216" s="38" t="n">
        <x:v>1</x:v>
      </x:c>
      <x:c r="O216" s="38" t="str">
        <x:v>Unidad</x:v>
      </x:c>
      <x:c r="P216" s="99" t="n">
        <x:v>6.58</x:v>
      </x:c>
      <x:c r="Q216" s="114" t="n">
        <x:v>0.4</x:v>
      </x:c>
      <x:c r="R216" s="99" t="n">
        <x:v>3.95</x:v>
      </x:c>
      <x:c r="S216" s="99" t="n">
        <x:f>IFERROR(R216/L216,P216*(1-Q216))</x:f>
        <x:v>3.95</x:v>
      </x:c>
      <x:c r="T216" s="114" t="n">
        <x:v>0.07</x:v>
      </x:c>
      <x:c r="U216" s="99" t="n">
        <x:f>S216*(1+T216)</x:f>
        <x:v>4.226500000000001</x:v>
      </x:c>
      <x:c r="V216" s="99" t="n">
        <x:f>S216</x:f>
        <x:v>3.95</x:v>
      </x:c>
      <x:c r="W216" s="99" t="n">
        <x:f>V216-S216</x:f>
        <x:v>0</x:v>
      </x:c>
      <x:c r="X216" s="114" t="n">
        <x:f>IFERROR(W216/V216,0)</x:f>
        <x:v>0</x:v>
      </x:c>
      <x:c r="Y216" s="38" t="str">
        <x:v>Por unidad</x:v>
      </x:c>
      <x:c r="Z216" s="38" t="str">
        <x:f>IF(Y216="Botella / 3 instalaciones","Precio botella / 3",IF(Y216="Por rollo o metros proporcionales","Si se pasa rollo: rollo completo. Si se pasan metros: proporcional",Y216))</x:f>
        <x:v>Por unidad</x:v>
      </x:c>
      <x:c r="AA216" s="38" t="n">
        <x:v>1</x:v>
      </x:c>
      <x:c r="AB216" s="38" t="str"/>
      <x:c r="AC216" s="38" t="str"/>
      <x:c r="AD216" s="116" t="str">
        <x:v>2026-06-30</x:v>
      </x:c>
      <x:c r="AE216" s="38" t="str">
        <x:v>Sí</x:v>
      </x:c>
      <x:c r="AF216" s="38" t="str">
        <x:v>Revisar categoría antes de usar en cálculo automático.</x:v>
      </x:c>
    </x:row>
    <x:row r="217">
      <x:c r="A217" s="38" t="str">
        <x:v>MAT-0216</x:v>
      </x:c>
      <x:c r="B217" s="38" t="str">
        <x:v>Sí</x:v>
      </x:c>
      <x:c r="C217" s="38" t="str">
        <x:v>Canaleta</x:v>
      </x:c>
      <x:c r="D217" s="38" t="str">
        <x:v>Canaleta tramo</x:v>
      </x:c>
      <x:c r="E217" s="38" t="str">
        <x:v>Canaleta 125X75 2 Mts.</x:v>
      </x:c>
      <x:c r="F217" s="38" t="str">
        <x:v>CANALETA 125X75 2 MTS.</x:v>
      </x:c>
      <x:c r="G217" s="38" t="str">
        <x:v>9803-001-08F</x:v>
      </x:c>
      <x:c r="H217" s="38" t="str">
        <x:v>Sánchez Arencibia, S.A.</x:v>
      </x:c>
      <x:c r="I217" s="38" t="str">
        <x:v>Factura F/232,230</x:v>
      </x:c>
      <x:c r="J217" s="115" t="str">
        <x:v>31/12/2025</x:v>
      </x:c>
      <x:c r="K217" s="38" t="str">
        <x:v>Albarán TF 531,666 (11/12/2025)</x:v>
      </x:c>
      <x:c r="L217" s="38" t="n">
        <x:v>3</x:v>
      </x:c>
      <x:c r="M217" s="38" t="str">
        <x:v>Metro</x:v>
      </x:c>
      <x:c r="N217" s="38" t="n">
        <x:v>1</x:v>
      </x:c>
      <x:c r="O217" s="38" t="str">
        <x:v>Metro</x:v>
      </x:c>
      <x:c r="P217" s="99" t="n">
        <x:v>20.68</x:v>
      </x:c>
      <x:c r="Q217" s="114" t="n">
        <x:v>0.4</x:v>
      </x:c>
      <x:c r="R217" s="99" t="n">
        <x:v>37.22</x:v>
      </x:c>
      <x:c r="S217" s="99" t="n">
        <x:f>IFERROR(R217/L217,P217*(1-Q217))</x:f>
        <x:v>12.406666666666666</x:v>
      </x:c>
      <x:c r="T217" s="114" t="n">
        <x:v>0.07</x:v>
      </x:c>
      <x:c r="U217" s="99" t="n">
        <x:f>S217*(1+T217)</x:f>
        <x:v>13.275133333333335</x:v>
      </x:c>
      <x:c r="V217" s="99" t="n">
        <x:f>S217</x:f>
        <x:v>12.406666666666666</x:v>
      </x:c>
      <x:c r="W217" s="99" t="n">
        <x:f>V217-S217</x:f>
        <x:v>0</x:v>
      </x:c>
      <x:c r="X217" s="114" t="n">
        <x:f>IFERROR(W217/V217,0)</x:f>
        <x:v>0</x:v>
      </x:c>
      <x:c r="Y217" s="38" t="str">
        <x:v>Por metros</x:v>
      </x:c>
      <x:c r="Z217" s="38" t="str">
        <x:f>IF(Y217="Botella / 3 instalaciones","Precio botella / 3",IF(Y217="Por rollo o metros proporcionales","Si se pasa rollo: rollo completo. Si se pasan metros: proporcional",Y217))</x:f>
        <x:v>Por metros</x:v>
      </x:c>
      <x:c r="AA217" s="38" t="n">
        <x:v>1</x:v>
      </x:c>
      <x:c r="AB217" s="38" t="str"/>
      <x:c r="AC217" s="38" t="str"/>
      <x:c r="AD217" s="116" t="str">
        <x:v>2026-06-30</x:v>
      </x:c>
      <x:c r="AE217" s="38" t="str">
        <x:v>No</x:v>
      </x:c>
      <x:c r="AF217" s="38" t="str"/>
    </x:row>
    <x:row r="218">
      <x:c r="A218" s="38" t="str">
        <x:v>MAT-0217</x:v>
      </x:c>
      <x:c r="B218" s="38" t="str">
        <x:v>Sí</x:v>
      </x:c>
      <x:c r="C218" s="38" t="str">
        <x:v>Sin clasificar</x:v>
      </x:c>
      <x:c r="D218" s="38" t="str"/>
      <x:c r="E218" s="38" t="str">
        <x:v>Curva Plana 125X75</x:v>
      </x:c>
      <x:c r="F218" s="38" t="str">
        <x:v>CURVA PLANA 125X75</x:v>
      </x:c>
      <x:c r="G218" s="38" t="str">
        <x:v>9803-115-08</x:v>
      </x:c>
      <x:c r="H218" s="38" t="str">
        <x:v>Sánchez Arencibia, S.A.</x:v>
      </x:c>
      <x:c r="I218" s="38" t="str">
        <x:v>Factura F/232,230</x:v>
      </x:c>
      <x:c r="J218" s="115" t="str">
        <x:v>31/12/2025</x:v>
      </x:c>
      <x:c r="K218" s="38" t="str">
        <x:v>Albarán TF 531,666 (11/12/2025)</x:v>
      </x:c>
      <x:c r="L218" s="38" t="n">
        <x:v>2</x:v>
      </x:c>
      <x:c r="M218" s="38" t="str">
        <x:v>Unidad</x:v>
      </x:c>
      <x:c r="N218" s="38" t="n">
        <x:v>1</x:v>
      </x:c>
      <x:c r="O218" s="38" t="str">
        <x:v>Unidad</x:v>
      </x:c>
      <x:c r="P218" s="99" t="n">
        <x:v>6.58</x:v>
      </x:c>
      <x:c r="Q218" s="114" t="n">
        <x:v>0.4</x:v>
      </x:c>
      <x:c r="R218" s="99" t="n">
        <x:v>7.9</x:v>
      </x:c>
      <x:c r="S218" s="99" t="n">
        <x:f>IFERROR(R218/L218,P218*(1-Q218))</x:f>
        <x:v>3.95</x:v>
      </x:c>
      <x:c r="T218" s="114" t="n">
        <x:v>0.07</x:v>
      </x:c>
      <x:c r="U218" s="99" t="n">
        <x:f>S218*(1+T218)</x:f>
        <x:v>4.226500000000001</x:v>
      </x:c>
      <x:c r="V218" s="99" t="n">
        <x:f>S218</x:f>
        <x:v>3.95</x:v>
      </x:c>
      <x:c r="W218" s="99" t="n">
        <x:f>V218-S218</x:f>
        <x:v>0</x:v>
      </x:c>
      <x:c r="X218" s="114" t="n">
        <x:f>IFERROR(W218/V218,0)</x:f>
        <x:v>0</x:v>
      </x:c>
      <x:c r="Y218" s="38" t="str">
        <x:v>Por unidad</x:v>
      </x:c>
      <x:c r="Z218" s="38" t="str">
        <x:f>IF(Y218="Botella / 3 instalaciones","Precio botella / 3",IF(Y218="Por rollo o metros proporcionales","Si se pasa rollo: rollo completo. Si se pasan metros: proporcional",Y218))</x:f>
        <x:v>Por unidad</x:v>
      </x:c>
      <x:c r="AA218" s="38" t="n">
        <x:v>1</x:v>
      </x:c>
      <x:c r="AB218" s="38" t="str"/>
      <x:c r="AC218" s="38" t="str"/>
      <x:c r="AD218" s="116" t="str">
        <x:v>2026-06-30</x:v>
      </x:c>
      <x:c r="AE218" s="38" t="str">
        <x:v>Sí</x:v>
      </x:c>
      <x:c r="AF218" s="38" t="str">
        <x:v>Revisar categoría antes de usar en cálculo automático.</x:v>
      </x:c>
    </x:row>
    <x:row r="219">
      <x:c r="A219" s="38" t="str">
        <x:v>MAT-0218</x:v>
      </x:c>
      <x:c r="B219" s="38" t="str">
        <x:v>Sí</x:v>
      </x:c>
      <x:c r="C219" s="38" t="str">
        <x:v>Sin clasificar</x:v>
      </x:c>
      <x:c r="D219" s="38" t="str"/>
      <x:c r="E219" s="38" t="str">
        <x:v>Angulo Externo 125X75</x:v>
      </x:c>
      <x:c r="F219" s="38" t="str">
        <x:v>ANGULO EXTERNO 125X75</x:v>
      </x:c>
      <x:c r="G219" s="38" t="str">
        <x:v>9803-113-08</x:v>
      </x:c>
      <x:c r="H219" s="38" t="str">
        <x:v>Sánchez Arencibia, S.A.</x:v>
      </x:c>
      <x:c r="I219" s="38" t="str">
        <x:v>Factura F/232,230</x:v>
      </x:c>
      <x:c r="J219" s="115" t="str">
        <x:v>31/12/2025</x:v>
      </x:c>
      <x:c r="K219" s="38" t="str">
        <x:v>Albarán TF 531,666 (11/12/2025)</x:v>
      </x:c>
      <x:c r="L219" s="38" t="n">
        <x:v>3</x:v>
      </x:c>
      <x:c r="M219" s="38" t="str">
        <x:v>Unidad</x:v>
      </x:c>
      <x:c r="N219" s="38" t="n">
        <x:v>1</x:v>
      </x:c>
      <x:c r="O219" s="38" t="str">
        <x:v>Unidad</x:v>
      </x:c>
      <x:c r="P219" s="99" t="n">
        <x:v>5.04</x:v>
      </x:c>
      <x:c r="Q219" s="114" t="n">
        <x:v>0.4</x:v>
      </x:c>
      <x:c r="R219" s="99" t="n">
        <x:v>9.07</x:v>
      </x:c>
      <x:c r="S219" s="99" t="n">
        <x:f>IFERROR(R219/L219,P219*(1-Q219))</x:f>
        <x:v>3.0233333333333334</x:v>
      </x:c>
      <x:c r="T219" s="114" t="n">
        <x:v>0.07</x:v>
      </x:c>
      <x:c r="U219" s="99" t="n">
        <x:f>S219*(1+T219)</x:f>
        <x:v>3.2349666666666668</x:v>
      </x:c>
      <x:c r="V219" s="99" t="n">
        <x:f>S219</x:f>
        <x:v>3.0233333333333334</x:v>
      </x:c>
      <x:c r="W219" s="99" t="n">
        <x:f>V219-S219</x:f>
        <x:v>0</x:v>
      </x:c>
      <x:c r="X219" s="114" t="n">
        <x:f>IFERROR(W219/V219,0)</x:f>
        <x:v>0</x:v>
      </x:c>
      <x:c r="Y219" s="38" t="str">
        <x:v>Por unidad</x:v>
      </x:c>
      <x:c r="Z219" s="38" t="str">
        <x:f>IF(Y219="Botella / 3 instalaciones","Precio botella / 3",IF(Y219="Por rollo o metros proporcionales","Si se pasa rollo: rollo completo. Si se pasan metros: proporcional",Y219))</x:f>
        <x:v>Por unidad</x:v>
      </x:c>
      <x:c r="AA219" s="38" t="n">
        <x:v>1</x:v>
      </x:c>
      <x:c r="AB219" s="38" t="str"/>
      <x:c r="AC219" s="38" t="str"/>
      <x:c r="AD219" s="116" t="str">
        <x:v>2026-06-30</x:v>
      </x:c>
      <x:c r="AE219" s="38" t="str">
        <x:v>Sí</x:v>
      </x:c>
      <x:c r="AF219" s="38" t="str">
        <x:v>Revisar categoría antes de usar en cálculo automático.</x:v>
      </x:c>
    </x:row>
    <x:row r="220">
      <x:c r="A220" s="38" t="str">
        <x:v>MAT-0219</x:v>
      </x:c>
      <x:c r="B220" s="38" t="str">
        <x:v>Sí</x:v>
      </x:c>
      <x:c r="C220" s="38" t="str">
        <x:v>Sin clasificar</x:v>
      </x:c>
      <x:c r="D220" s="38" t="str"/>
      <x:c r="E220" s="38" t="str">
        <x:v>Carril Pesada 41X21X2.5 3Mt</x:v>
      </x:c>
      <x:c r="F220" s="38" t="str">
        <x:v>CARRIL PESADA 41X21X2.5 3MT</x:v>
      </x:c>
      <x:c r="G220" s="38" t="str">
        <x:v>65018327 (BUP)</x:v>
      </x:c>
      <x:c r="H220" s="38" t="str">
        <x:v>Sánchez Arencibia, S.A.</x:v>
      </x:c>
      <x:c r="I220" s="38" t="str">
        <x:v>Factura F/232,230</x:v>
      </x:c>
      <x:c r="J220" s="115" t="str">
        <x:v>31/12/2025</x:v>
      </x:c>
      <x:c r="K220" s="38" t="str">
        <x:v>Albarán TF 531,882 (16/12/2025)</x:v>
      </x:c>
      <x:c r="L220" s="38" t="n">
        <x:v>1</x:v>
      </x:c>
      <x:c r="M220" s="38" t="str">
        <x:v>Unidad</x:v>
      </x:c>
      <x:c r="N220" s="38" t="n">
        <x:v>1</x:v>
      </x:c>
      <x:c r="O220" s="38" t="str">
        <x:v>Unidad</x:v>
      </x:c>
      <x:c r="P220" s="99" t="n">
        <x:v>86.42</x:v>
      </x:c>
      <x:c r="Q220" s="114" t="n">
        <x:v>0.75</x:v>
      </x:c>
      <x:c r="R220" s="99" t="n">
        <x:v>21.61</x:v>
      </x:c>
      <x:c r="S220" s="99" t="n">
        <x:f>IFERROR(R220/L220,P220*(1-Q220))</x:f>
        <x:v>21.61</x:v>
      </x:c>
      <x:c r="T220" s="114" t="n">
        <x:v>0.07</x:v>
      </x:c>
      <x:c r="U220" s="99" t="n">
        <x:f>S220*(1+T220)</x:f>
        <x:v>23.122700000000002</x:v>
      </x:c>
      <x:c r="V220" s="99" t="n">
        <x:f>S220</x:f>
        <x:v>21.61</x:v>
      </x:c>
      <x:c r="W220" s="99" t="n">
        <x:f>V220-S220</x:f>
        <x:v>0</x:v>
      </x:c>
      <x:c r="X220" s="114" t="n">
        <x:f>IFERROR(W220/V220,0)</x:f>
        <x:v>0</x:v>
      </x:c>
      <x:c r="Y220" s="38" t="str">
        <x:v>Por unidad</x:v>
      </x:c>
      <x:c r="Z220" s="38" t="str">
        <x:f>IF(Y220="Botella / 3 instalaciones","Precio botella / 3",IF(Y220="Por rollo o metros proporcionales","Si se pasa rollo: rollo completo. Si se pasan metros: proporcional",Y220))</x:f>
        <x:v>Por unidad</x:v>
      </x:c>
      <x:c r="AA220" s="38" t="n">
        <x:v>1</x:v>
      </x:c>
      <x:c r="AB220" s="38" t="str"/>
      <x:c r="AC220" s="38" t="str"/>
      <x:c r="AD220" s="116" t="str">
        <x:v>2026-06-30</x:v>
      </x:c>
      <x:c r="AE220" s="38" t="str">
        <x:v>Sí</x:v>
      </x:c>
      <x:c r="AF220" s="38" t="str">
        <x:v>Revisar categoría antes de usar en cálculo automático.</x:v>
      </x:c>
    </x:row>
    <x:row r="221">
      <x:c r="A221" s="38" t="str">
        <x:v>MAT-0220</x:v>
      </x:c>
      <x:c r="B221" s="38" t="str">
        <x:v>Sí</x:v>
      </x:c>
      <x:c r="C221" s="38" t="str">
        <x:v>Pequeño material</x:v>
      </x:c>
      <x:c r="D221" s="38" t="str">
        <x:v>Consumible</x:v>
      </x:c>
      <x:c r="E221" s="38" t="str">
        <x:v>Tornillo Bup Hamm M10X60 Cp</x:v>
      </x:c>
      <x:c r="F221" s="38" t="str">
        <x:v>TORNILLO BUP HAMM M10X60 CP</x:v>
      </x:c>
      <x:c r="G221" s="38" t="str">
        <x:v>652785006</x:v>
      </x:c>
      <x:c r="H221" s="38" t="str">
        <x:v>Sánchez Arencibia, S.A.</x:v>
      </x:c>
      <x:c r="I221" s="38" t="str">
        <x:v>Factura F/232,230</x:v>
      </x:c>
      <x:c r="J221" s="115" t="str">
        <x:v>31/12/2025</x:v>
      </x:c>
      <x:c r="K221" s="38" t="str">
        <x:v>Albarán TF 531,882 (16/12/2025)</x:v>
      </x:c>
      <x:c r="L221" s="38" t="n">
        <x:v>4</x:v>
      </x:c>
      <x:c r="M221" s="38" t="str">
        <x:v>Unidad</x:v>
      </x:c>
      <x:c r="N221" s="38" t="n">
        <x:v>1</x:v>
      </x:c>
      <x:c r="O221" s="38" t="str">
        <x:v>Unidad</x:v>
      </x:c>
      <x:c r="P221" s="99" t="n">
        <x:v>6.68</x:v>
      </x:c>
      <x:c r="Q221" s="114" t="n">
        <x:v>0.75</x:v>
      </x:c>
      <x:c r="R221" s="99" t="n">
        <x:v>6.68</x:v>
      </x:c>
      <x:c r="S221" s="99" t="n">
        <x:f>IFERROR(R221/L221,P221*(1-Q221))</x:f>
        <x:v>1.67</x:v>
      </x:c>
      <x:c r="T221" s="114" t="n">
        <x:v>0.07</x:v>
      </x:c>
      <x:c r="U221" s="99" t="n">
        <x:f>S221*(1+T221)</x:f>
        <x:v>1.7869</x:v>
      </x:c>
      <x:c r="V221" s="99" t="n">
        <x:f>S221</x:f>
        <x:v>1.67</x:v>
      </x:c>
      <x:c r="W221" s="99" t="n">
        <x:f>V221-S221</x:f>
        <x:v>0</x:v>
      </x:c>
      <x:c r="X221" s="114" t="n">
        <x:f>IFERROR(W221/V221,0)</x:f>
        <x:v>0</x:v>
      </x:c>
      <x:c r="Y221" s="38" t="str">
        <x:v>Por unidad</x:v>
      </x:c>
      <x:c r="Z221" s="38" t="str">
        <x:f>IF(Y221="Botella / 3 instalaciones","Precio botella / 3",IF(Y221="Por rollo o metros proporcionales","Si se pasa rollo: rollo completo. Si se pasan metros: proporcional",Y221))</x:f>
        <x:v>Por unidad</x:v>
      </x:c>
      <x:c r="AA221" s="38" t="n">
        <x:v>1</x:v>
      </x:c>
      <x:c r="AB221" s="38" t="str"/>
      <x:c r="AC221" s="38" t="str"/>
      <x:c r="AD221" s="116" t="str">
        <x:v>2026-06-30</x:v>
      </x:c>
      <x:c r="AE221" s="38" t="str">
        <x:v>No</x:v>
      </x:c>
      <x:c r="AF221" s="38" t="str"/>
    </x:row>
    <x:row r="222">
      <x:c r="A222" s="38" t="str">
        <x:v>MAT-0221</x:v>
      </x:c>
      <x:c r="B222" s="38" t="str">
        <x:v>Sí</x:v>
      </x:c>
      <x:c r="C222" s="38" t="str">
        <x:v>Sin clasificar</x:v>
      </x:c>
      <x:c r="D222" s="38" t="str"/>
      <x:c r="E222" s="38" t="str">
        <x:v>Arandela Bup 10,5/20Mm</x:v>
      </x:c>
      <x:c r="F222" s="38" t="str">
        <x:v>ARANDELA BUP 10,5/20MM</x:v>
      </x:c>
      <x:c r="G222" s="38" t="str">
        <x:v>65381310 ***</x:v>
      </x:c>
      <x:c r="H222" s="38" t="str">
        <x:v>Sánchez Arencibia, S.A.</x:v>
      </x:c>
      <x:c r="I222" s="38" t="str">
        <x:v>Factura F/232,230</x:v>
      </x:c>
      <x:c r="J222" s="115" t="str">
        <x:v>31/12/2025</x:v>
      </x:c>
      <x:c r="K222" s="38" t="str">
        <x:v>Albarán TF 531,882 (16/12/2025)</x:v>
      </x:c>
      <x:c r="L222" s="38" t="n">
        <x:v>8</x:v>
      </x:c>
      <x:c r="M222" s="38" t="str">
        <x:v>Unidad</x:v>
      </x:c>
      <x:c r="N222" s="38" t="n">
        <x:v>1</x:v>
      </x:c>
      <x:c r="O222" s="38" t="str">
        <x:v>Unidad</x:v>
      </x:c>
      <x:c r="P222" s="99" t="n">
        <x:v>1.25</x:v>
      </x:c>
      <x:c r="Q222" s="114" t="n">
        <x:v>0.75</x:v>
      </x:c>
      <x:c r="R222" s="99" t="n">
        <x:v>2.5</x:v>
      </x:c>
      <x:c r="S222" s="99" t="n">
        <x:f>IFERROR(R222/L222,P222*(1-Q222))</x:f>
        <x:v>0.3125</x:v>
      </x:c>
      <x:c r="T222" s="114" t="n">
        <x:v>0.07</x:v>
      </x:c>
      <x:c r="U222" s="99" t="n">
        <x:f>S222*(1+T222)</x:f>
        <x:v>0.33437500000000003</x:v>
      </x:c>
      <x:c r="V222" s="99" t="n">
        <x:f>S222</x:f>
        <x:v>0.3125</x:v>
      </x:c>
      <x:c r="W222" s="99" t="n">
        <x:f>V222-S222</x:f>
        <x:v>0</x:v>
      </x:c>
      <x:c r="X222" s="114" t="n">
        <x:f>IFERROR(W222/V222,0)</x:f>
        <x:v>0</x:v>
      </x:c>
      <x:c r="Y222" s="38" t="str">
        <x:v>Por unidad</x:v>
      </x:c>
      <x:c r="Z222" s="38" t="str">
        <x:f>IF(Y222="Botella / 3 instalaciones","Precio botella / 3",IF(Y222="Por rollo o metros proporcionales","Si se pasa rollo: rollo completo. Si se pasan metros: proporcional",Y222))</x:f>
        <x:v>Por unidad</x:v>
      </x:c>
      <x:c r="AA222" s="38" t="n">
        <x:v>1</x:v>
      </x:c>
      <x:c r="AB222" s="38" t="str"/>
      <x:c r="AC222" s="38" t="str"/>
      <x:c r="AD222" s="116" t="str">
        <x:v>2026-06-30</x:v>
      </x:c>
      <x:c r="AE222" s="38" t="str">
        <x:v>Sí</x:v>
      </x:c>
      <x:c r="AF222" s="38" t="str">
        <x:v>Revisar categoría antes de usar en cálculo automático.</x:v>
      </x:c>
    </x:row>
    <x:row r="223">
      <x:c r="A223" s="38" t="str">
        <x:v>MAT-0222</x:v>
      </x:c>
      <x:c r="B223" s="38" t="str">
        <x:v>Sí</x:v>
      </x:c>
      <x:c r="C223" s="38" t="str">
        <x:v>Sin clasificar</x:v>
      </x:c>
      <x:c r="D223" s="38" t="str"/>
      <x:c r="E223" s="38" t="str">
        <x:v>Tuerca Hexagonal Bup M10</x:v>
      </x:c>
      <x:c r="F223" s="38" t="str">
        <x:v>TUERCA HEXAGONAL BUP M10</x:v>
      </x:c>
      <x:c r="G223" s="38" t="str">
        <x:v>61281010</x:v>
      </x:c>
      <x:c r="H223" s="38" t="str">
        <x:v>Sánchez Arencibia, S.A.</x:v>
      </x:c>
      <x:c r="I223" s="38" t="str">
        <x:v>Factura F/232,230</x:v>
      </x:c>
      <x:c r="J223" s="115" t="str">
        <x:v>31/12/2025</x:v>
      </x:c>
      <x:c r="K223" s="38" t="str">
        <x:v>Albarán TF 531,882 (16/12/2025)</x:v>
      </x:c>
      <x:c r="L223" s="38" t="n">
        <x:v>4</x:v>
      </x:c>
      <x:c r="M223" s="38" t="str">
        <x:v>Unidad</x:v>
      </x:c>
      <x:c r="N223" s="38" t="n">
        <x:v>1</x:v>
      </x:c>
      <x:c r="O223" s="38" t="str">
        <x:v>Unidad</x:v>
      </x:c>
      <x:c r="P223" s="99" t="n">
        <x:v>0.62</x:v>
      </x:c>
      <x:c r="Q223" s="114" t="n">
        <x:v>0.75</x:v>
      </x:c>
      <x:c r="R223" s="99" t="n">
        <x:v>0.62</x:v>
      </x:c>
      <x:c r="S223" s="99" t="n">
        <x:f>IFERROR(R223/L223,P223*(1-Q223))</x:f>
        <x:v>0.155</x:v>
      </x:c>
      <x:c r="T223" s="114" t="n">
        <x:v>0.07</x:v>
      </x:c>
      <x:c r="U223" s="99" t="n">
        <x:f>S223*(1+T223)</x:f>
        <x:v>0.16585</x:v>
      </x:c>
      <x:c r="V223" s="99" t="n">
        <x:f>S223</x:f>
        <x:v>0.155</x:v>
      </x:c>
      <x:c r="W223" s="99" t="n">
        <x:f>V223-S223</x:f>
        <x:v>0</x:v>
      </x:c>
      <x:c r="X223" s="114" t="n">
        <x:f>IFERROR(W223/V223,0)</x:f>
        <x:v>0</x:v>
      </x:c>
      <x:c r="Y223" s="38" t="str">
        <x:v>Por unidad</x:v>
      </x:c>
      <x:c r="Z223" s="38" t="str">
        <x:f>IF(Y223="Botella / 3 instalaciones","Precio botella / 3",IF(Y223="Por rollo o metros proporcionales","Si se pasa rollo: rollo completo. Si se pasan metros: proporcional",Y223))</x:f>
        <x:v>Por unidad</x:v>
      </x:c>
      <x:c r="AA223" s="38" t="n">
        <x:v>1</x:v>
      </x:c>
      <x:c r="AB223" s="38" t="str"/>
      <x:c r="AC223" s="38" t="str"/>
      <x:c r="AD223" s="116" t="str">
        <x:v>2026-06-30</x:v>
      </x:c>
      <x:c r="AE223" s="38" t="str">
        <x:v>Sí</x:v>
      </x:c>
      <x:c r="AF223" s="38" t="str">
        <x:v>Revisar categoría antes de usar en cálculo automático.</x:v>
      </x:c>
    </x:row>
    <x:row r="224">
      <x:c r="A224" s="38" t="str">
        <x:v>MAT-0223</x:v>
      </x:c>
      <x:c r="B224" s="38" t="str">
        <x:v>Sí</x:v>
      </x:c>
      <x:c r="C224" s="38" t="str">
        <x:v>Soportes y fijaciones</x:v>
      </x:c>
      <x:c r="D224" s="38" t="str">
        <x:v>Soportes/amortiguadores</x:v>
      </x:c>
      <x:c r="E224" s="38" t="str">
        <x:v>Juego Amortiguadores (4)</x:v>
      </x:c>
      <x:c r="F224" s="38" t="str">
        <x:v>JUEGO AMORTIGUADORES (4)</x:v>
      </x:c>
      <x:c r="G224" s="38" t="str">
        <x:v>SG-60 AIRPACK</x:v>
      </x:c>
      <x:c r="H224" s="38" t="str">
        <x:v>Sánchez Arencibia, S.A.</x:v>
      </x:c>
      <x:c r="I224" s="38" t="str">
        <x:v>Factura F/232,230</x:v>
      </x:c>
      <x:c r="J224" s="115" t="str">
        <x:v>31/12/2025</x:v>
      </x:c>
      <x:c r="K224" s="38" t="str">
        <x:v>Albarán TF 531,882 (16/12/2025)</x:v>
      </x:c>
      <x:c r="L224" s="38" t="n">
        <x:v>1</x:v>
      </x:c>
      <x:c r="M224" s="38" t="str">
        <x:v>Unidad</x:v>
      </x:c>
      <x:c r="N224" s="38" t="n">
        <x:v>1</x:v>
      </x:c>
      <x:c r="O224" s="38" t="str">
        <x:v>Unidad</x:v>
      </x:c>
      <x:c r="P224" s="99" t="n">
        <x:v>5.02</x:v>
      </x:c>
      <x:c r="Q224" s="114" t="n">
        <x:v>0.4</x:v>
      </x:c>
      <x:c r="R224" s="99" t="n">
        <x:v>3.01</x:v>
      </x:c>
      <x:c r="S224" s="99" t="n">
        <x:f>IFERROR(R224/L224,P224*(1-Q224))</x:f>
        <x:v>3.01</x:v>
      </x:c>
      <x:c r="T224" s="114" t="n">
        <x:v>0.07</x:v>
      </x:c>
      <x:c r="U224" s="99" t="n">
        <x:f>S224*(1+T224)</x:f>
        <x:v>3.2207</x:v>
      </x:c>
      <x:c r="V224" s="99" t="n">
        <x:f>S224</x:f>
        <x:v>3.01</x:v>
      </x:c>
      <x:c r="W224" s="99" t="n">
        <x:f>V224-S224</x:f>
        <x:v>0</x:v>
      </x:c>
      <x:c r="X224" s="114" t="n">
        <x:f>IFERROR(W224/V224,0)</x:f>
        <x:v>0</x:v>
      </x:c>
      <x:c r="Y224" s="38" t="str">
        <x:v>Por unidad</x:v>
      </x:c>
      <x:c r="Z224" s="38" t="str">
        <x:f>IF(Y224="Botella / 3 instalaciones","Precio botella / 3",IF(Y224="Por rollo o metros proporcionales","Si se pasa rollo: rollo completo. Si se pasan metros: proporcional",Y224))</x:f>
        <x:v>Por unidad</x:v>
      </x:c>
      <x:c r="AA224" s="38" t="n">
        <x:v>1</x:v>
      </x:c>
      <x:c r="AB224" s="38" t="str">
        <x:v>Sánchez Arencibia, S.A.</x:v>
      </x:c>
      <x:c r="AC224" s="38" t="str">
        <x:v>Media-Baja</x:v>
      </x:c>
      <x:c r="AD224" s="116" t="str">
        <x:v>2026-06-30</x:v>
      </x:c>
      <x:c r="AE224" s="38" t="str">
        <x:v>No</x:v>
      </x:c>
      <x:c r="AF224" s="38" t="str">
        <x:v>Comparativa orientativa: revisar ficha/medida antes de decidir proveedor.</x:v>
      </x:c>
    </x:row>
    <x:row r="225">
      <x:c r="A225" s="38" t="str">
        <x:v>MAT-0224</x:v>
      </x:c>
      <x:c r="B225" s="38" t="str">
        <x:v>Sí</x:v>
      </x:c>
      <x:c r="C225" s="38" t="str">
        <x:v>Canaleta</x:v>
      </x:c>
      <x:c r="D225" s="38" t="str">
        <x:v>Canaleta tramo</x:v>
      </x:c>
      <x:c r="E225" s="38" t="str">
        <x:v>Canaleta 125X75 2 Mts.</x:v>
      </x:c>
      <x:c r="F225" s="38" t="str">
        <x:v>CANALETA 125X75 2 MTS.</x:v>
      </x:c>
      <x:c r="G225" s="38" t="str">
        <x:v>9803-001-08F</x:v>
      </x:c>
      <x:c r="H225" s="38" t="str">
        <x:v>Sánchez Arencibia, S.A.</x:v>
      </x:c>
      <x:c r="I225" s="38" t="str">
        <x:v>Factura F/232,230</x:v>
      </x:c>
      <x:c r="J225" s="115" t="str">
        <x:v>31/12/2025</x:v>
      </x:c>
      <x:c r="K225" s="38" t="str">
        <x:v>Albarán TF 532,005 (18/12/2025)</x:v>
      </x:c>
      <x:c r="L225" s="38" t="n">
        <x:v>2</x:v>
      </x:c>
      <x:c r="M225" s="38" t="str">
        <x:v>Metro</x:v>
      </x:c>
      <x:c r="N225" s="38" t="n">
        <x:v>1</x:v>
      </x:c>
      <x:c r="O225" s="38" t="str">
        <x:v>Metro</x:v>
      </x:c>
      <x:c r="P225" s="99" t="n">
        <x:v>20.68</x:v>
      </x:c>
      <x:c r="Q225" s="114" t="n">
        <x:v>0.4</x:v>
      </x:c>
      <x:c r="R225" s="99" t="n">
        <x:v>24.82</x:v>
      </x:c>
      <x:c r="S225" s="99" t="n">
        <x:f>IFERROR(R225/L225,P225*(1-Q225))</x:f>
        <x:v>12.41</x:v>
      </x:c>
      <x:c r="T225" s="114" t="n">
        <x:v>0.07</x:v>
      </x:c>
      <x:c r="U225" s="99" t="n">
        <x:f>S225*(1+T225)</x:f>
        <x:v>13.2787</x:v>
      </x:c>
      <x:c r="V225" s="99" t="n">
        <x:f>S225</x:f>
        <x:v>12.41</x:v>
      </x:c>
      <x:c r="W225" s="99" t="n">
        <x:f>V225-S225</x:f>
        <x:v>0</x:v>
      </x:c>
      <x:c r="X225" s="114" t="n">
        <x:f>IFERROR(W225/V225,0)</x:f>
        <x:v>0</x:v>
      </x:c>
      <x:c r="Y225" s="38" t="str">
        <x:v>Por metros</x:v>
      </x:c>
      <x:c r="Z225" s="38" t="str">
        <x:f>IF(Y225="Botella / 3 instalaciones","Precio botella / 3",IF(Y225="Por rollo o metros proporcionales","Si se pasa rollo: rollo completo. Si se pasan metros: proporcional",Y225))</x:f>
        <x:v>Por metros</x:v>
      </x:c>
      <x:c r="AA225" s="38" t="n">
        <x:v>1</x:v>
      </x:c>
      <x:c r="AB225" s="38" t="str"/>
      <x:c r="AC225" s="38" t="str"/>
      <x:c r="AD225" s="116" t="str">
        <x:v>2026-06-30</x:v>
      </x:c>
      <x:c r="AE225" s="38" t="str">
        <x:v>No</x:v>
      </x:c>
      <x:c r="AF225" s="38" t="str"/>
    </x:row>
    <x:row r="226">
      <x:c r="A226" s="38" t="str">
        <x:v>MAT-0225</x:v>
      </x:c>
      <x:c r="B226" s="38" t="str">
        <x:v>Sí</x:v>
      </x:c>
      <x:c r="C226" s="38" t="str">
        <x:v>Máquina/Equipo</x:v>
      </x:c>
      <x:c r="D226" s="38" t="str">
        <x:v>Equipo climatización</x:v>
      </x:c>
      <x:c r="E226" s="38" t="str">
        <x:v>Soporte Condensadora</x:v>
      </x:c>
      <x:c r="F226" s="38" t="str">
        <x:v>SOPORTE CONDENSADORA</x:v>
      </x:c>
      <x:c r="G226" s="38" t="str">
        <x:v>R-1600500</x:v>
      </x:c>
      <x:c r="H226" s="38" t="str">
        <x:v>Sánchez Arencibia, S.A.</x:v>
      </x:c>
      <x:c r="I226" s="38" t="str">
        <x:v>Factura F/232,230</x:v>
      </x:c>
      <x:c r="J226" s="115" t="str">
        <x:v>31/12/2025</x:v>
      </x:c>
      <x:c r="K226" s="38" t="str">
        <x:v>Albarán TF 532,005 (18/12/2025)</x:v>
      </x:c>
      <x:c r="L226" s="38" t="n">
        <x:v>1</x:v>
      </x:c>
      <x:c r="M226" s="38" t="str">
        <x:v>Unidad</x:v>
      </x:c>
      <x:c r="N226" s="38" t="n">
        <x:v>1</x:v>
      </x:c>
      <x:c r="O226" s="38" t="str">
        <x:v>Unidad</x:v>
      </x:c>
      <x:c r="P226" s="99" t="n">
        <x:v>14.32</x:v>
      </x:c>
      <x:c r="Q226" s="114" t="n">
        <x:v>0.4</x:v>
      </x:c>
      <x:c r="R226" s="99" t="n">
        <x:v>8.59</x:v>
      </x:c>
      <x:c r="S226" s="99" t="n">
        <x:f>IFERROR(R226/L226,P226*(1-Q226))</x:f>
        <x:v>8.59</x:v>
      </x:c>
      <x:c r="T226" s="114" t="n">
        <x:v>0.07</x:v>
      </x:c>
      <x:c r="U226" s="99" t="n">
        <x:f>S226*(1+T226)</x:f>
        <x:v>9.1913</x:v>
      </x:c>
      <x:c r="V226" s="99" t="n">
        <x:f>S226</x:f>
        <x:v>8.59</x:v>
      </x:c>
      <x:c r="W226" s="99" t="n">
        <x:f>V226-S226</x:f>
        <x:v>0</x:v>
      </x:c>
      <x:c r="X226" s="114" t="n">
        <x:f>IFERROR(W226/V226,0)</x:f>
        <x:v>0</x:v>
      </x:c>
      <x:c r="Y226" s="38" t="str">
        <x:v>Por unidad</x:v>
      </x:c>
      <x:c r="Z226" s="38" t="str">
        <x:f>IF(Y226="Botella / 3 instalaciones","Precio botella / 3",IF(Y226="Por rollo o metros proporcionales","Si se pasa rollo: rollo completo. Si se pasan metros: proporcional",Y226))</x:f>
        <x:v>Por unidad</x:v>
      </x:c>
      <x:c r="AA226" s="38" t="n">
        <x:v>1</x:v>
      </x:c>
      <x:c r="AB226" s="38" t="str">
        <x:v>Sánchez Arencibia, S.A.</x:v>
      </x:c>
      <x:c r="AC226" s="38" t="str">
        <x:v>Media</x:v>
      </x:c>
      <x:c r="AD226" s="116" t="str">
        <x:v>2026-06-30</x:v>
      </x:c>
      <x:c r="AE226" s="38" t="str">
        <x:v>No</x:v>
      </x:c>
      <x:c r="AF226" s="38" t="str">
        <x:v>Comparativa orientativa: revisar ficha/medida antes de decidir proveedor.</x:v>
      </x:c>
    </x:row>
    <x:row r="227">
      <x:c r="A227" s="38" t="str">
        <x:v>MAT-0226</x:v>
      </x:c>
      <x:c r="B227" s="38" t="str">
        <x:v>Sí</x:v>
      </x:c>
      <x:c r="C227" s="38" t="str">
        <x:v>Soportes y fijaciones</x:v>
      </x:c>
      <x:c r="D227" s="38" t="str">
        <x:v>Soportes/amortiguadores</x:v>
      </x:c>
      <x:c r="E227" s="38" t="str">
        <x:v>Juego Amortiguadores (4)</x:v>
      </x:c>
      <x:c r="F227" s="38" t="str">
        <x:v>JUEGO AMORTIGUADORES (4)</x:v>
      </x:c>
      <x:c r="G227" s="38" t="str">
        <x:v>AG-45 V1 INST.</x:v>
      </x:c>
      <x:c r="H227" s="38" t="str">
        <x:v>Sánchez Arencibia, S.A.</x:v>
      </x:c>
      <x:c r="I227" s="38" t="str">
        <x:v>Factura F/232,230</x:v>
      </x:c>
      <x:c r="J227" s="115" t="str">
        <x:v>31/12/2025</x:v>
      </x:c>
      <x:c r="K227" s="38" t="str">
        <x:v>Albarán TF 532,005 (18/12/2025)</x:v>
      </x:c>
      <x:c r="L227" s="38" t="n">
        <x:v>2</x:v>
      </x:c>
      <x:c r="M227" s="38" t="str">
        <x:v>Unidad</x:v>
      </x:c>
      <x:c r="N227" s="38" t="n">
        <x:v>1</x:v>
      </x:c>
      <x:c r="O227" s="38" t="str">
        <x:v>Unidad</x:v>
      </x:c>
      <x:c r="P227" s="99" t="n">
        <x:v>2.87</x:v>
      </x:c>
      <x:c r="Q227" s="114" t="n">
        <x:v>0.4</x:v>
      </x:c>
      <x:c r="R227" s="99" t="n">
        <x:v>3.44</x:v>
      </x:c>
      <x:c r="S227" s="99" t="n">
        <x:f>IFERROR(R227/L227,P227*(1-Q227))</x:f>
        <x:v>1.72</x:v>
      </x:c>
      <x:c r="T227" s="114" t="n">
        <x:v>0.07</x:v>
      </x:c>
      <x:c r="U227" s="99" t="n">
        <x:f>S227*(1+T227)</x:f>
        <x:v>1.8404</x:v>
      </x:c>
      <x:c r="V227" s="99" t="n">
        <x:f>S227</x:f>
        <x:v>1.72</x:v>
      </x:c>
      <x:c r="W227" s="99" t="n">
        <x:f>V227-S227</x:f>
        <x:v>0</x:v>
      </x:c>
      <x:c r="X227" s="114" t="n">
        <x:f>IFERROR(W227/V227,0)</x:f>
        <x:v>0</x:v>
      </x:c>
      <x:c r="Y227" s="38" t="str">
        <x:v>Por unidad</x:v>
      </x:c>
      <x:c r="Z227" s="38" t="str">
        <x:f>IF(Y227="Botella / 3 instalaciones","Precio botella / 3",IF(Y227="Por rollo o metros proporcionales","Si se pasa rollo: rollo completo. Si se pasan metros: proporcional",Y227))</x:f>
        <x:v>Por unidad</x:v>
      </x:c>
      <x:c r="AA227" s="38" t="n">
        <x:v>1</x:v>
      </x:c>
      <x:c r="AB227" s="38" t="str">
        <x:v>Sánchez Arencibia, S.A.</x:v>
      </x:c>
      <x:c r="AC227" s="38" t="str">
        <x:v>Media-Baja</x:v>
      </x:c>
      <x:c r="AD227" s="116" t="str">
        <x:v>2026-06-30</x:v>
      </x:c>
      <x:c r="AE227" s="38" t="str">
        <x:v>No</x:v>
      </x:c>
      <x:c r="AF227" s="38" t="str">
        <x:v>Comparativa orientativa: revisar ficha/medida antes de decidir proveedor.</x:v>
      </x:c>
    </x:row>
    <x:row r="228">
      <x:c r="A228" s="38" t="str">
        <x:v>MAT-0227</x:v>
      </x:c>
      <x:c r="B228" s="38" t="str">
        <x:v>Sí</x:v>
      </x:c>
      <x:c r="C228" s="38" t="str">
        <x:v>Sin clasificar</x:v>
      </x:c>
      <x:c r="D228" s="38" t="str"/>
      <x:c r="E228" s="38" t="str">
        <x:v>Tuerca Hexagonal Bup M10</x:v>
      </x:c>
      <x:c r="F228" s="38" t="str">
        <x:v>TUERCA HEXAGONAL BUP M10</x:v>
      </x:c>
      <x:c r="G228" s="38" t="str">
        <x:v>61281010</x:v>
      </x:c>
      <x:c r="H228" s="38" t="str">
        <x:v>Sánchez Arencibia, S.A.</x:v>
      </x:c>
      <x:c r="I228" s="38" t="str">
        <x:v>Factura F/232,230</x:v>
      </x:c>
      <x:c r="J228" s="115" t="str">
        <x:v>31/12/2025</x:v>
      </x:c>
      <x:c r="K228" s="38" t="str">
        <x:v>Albarán TF 532,011 (18/12/2025)</x:v>
      </x:c>
      <x:c r="L228" s="38" t="n">
        <x:v>8</x:v>
      </x:c>
      <x:c r="M228" s="38" t="str">
        <x:v>Unidad</x:v>
      </x:c>
      <x:c r="N228" s="38" t="n">
        <x:v>1</x:v>
      </x:c>
      <x:c r="O228" s="38" t="str">
        <x:v>Unidad</x:v>
      </x:c>
      <x:c r="P228" s="99" t="n">
        <x:v>0.62</x:v>
      </x:c>
      <x:c r="Q228" s="114" t="n">
        <x:v>0.75</x:v>
      </x:c>
      <x:c r="R228" s="99" t="n">
        <x:v>1.24</x:v>
      </x:c>
      <x:c r="S228" s="99" t="n">
        <x:f>IFERROR(R228/L228,P228*(1-Q228))</x:f>
        <x:v>0.155</x:v>
      </x:c>
      <x:c r="T228" s="114" t="n">
        <x:v>0.07</x:v>
      </x:c>
      <x:c r="U228" s="99" t="n">
        <x:f>S228*(1+T228)</x:f>
        <x:v>0.16585</x:v>
      </x:c>
      <x:c r="V228" s="99" t="n">
        <x:f>S228</x:f>
        <x:v>0.155</x:v>
      </x:c>
      <x:c r="W228" s="99" t="n">
        <x:f>V228-S228</x:f>
        <x:v>0</x:v>
      </x:c>
      <x:c r="X228" s="114" t="n">
        <x:f>IFERROR(W228/V228,0)</x:f>
        <x:v>0</x:v>
      </x:c>
      <x:c r="Y228" s="38" t="str">
        <x:v>Por unidad</x:v>
      </x:c>
      <x:c r="Z228" s="38" t="str">
        <x:f>IF(Y228="Botella / 3 instalaciones","Precio botella / 3",IF(Y228="Por rollo o metros proporcionales","Si se pasa rollo: rollo completo. Si se pasan metros: proporcional",Y228))</x:f>
        <x:v>Por unidad</x:v>
      </x:c>
      <x:c r="AA228" s="38" t="n">
        <x:v>1</x:v>
      </x:c>
      <x:c r="AB228" s="38" t="str"/>
      <x:c r="AC228" s="38" t="str"/>
      <x:c r="AD228" s="116" t="str">
        <x:v>2026-06-30</x:v>
      </x:c>
      <x:c r="AE228" s="38" t="str">
        <x:v>Sí</x:v>
      </x:c>
      <x:c r="AF228" s="38" t="str">
        <x:v>Revisar categoría antes de usar en cálculo automático.</x:v>
      </x:c>
    </x:row>
    <x:row r="229">
      <x:c r="A229" s="38" t="str">
        <x:v>MAT-0228</x:v>
      </x:c>
      <x:c r="B229" s="38" t="str">
        <x:v>Sí</x:v>
      </x:c>
      <x:c r="C229" s="38" t="str">
        <x:v>Pequeño material</x:v>
      </x:c>
      <x:c r="D229" s="38" t="str">
        <x:v>Consumible</x:v>
      </x:c>
      <x:c r="E229" s="38" t="str">
        <x:v>Tornillo Bup Hamm M8X40 Cp</x:v>
      </x:c>
      <x:c r="F229" s="38" t="str">
        <x:v>TORNILLO BUP HAMM M8X40 CP</x:v>
      </x:c>
      <x:c r="G229" s="38" t="str">
        <x:v>652785804</x:v>
      </x:c>
      <x:c r="H229" s="38" t="str">
        <x:v>Sánchez Arencibia, S.A.</x:v>
      </x:c>
      <x:c r="I229" s="38" t="str">
        <x:v>Factura F/232,230</x:v>
      </x:c>
      <x:c r="J229" s="115" t="str">
        <x:v>31/12/2025</x:v>
      </x:c>
      <x:c r="K229" s="38" t="str">
        <x:v>Albarán TF 532,011 (18/12/2025)</x:v>
      </x:c>
      <x:c r="L229" s="38" t="n">
        <x:v>4</x:v>
      </x:c>
      <x:c r="M229" s="38" t="str">
        <x:v>Unidad</x:v>
      </x:c>
      <x:c r="N229" s="38" t="n">
        <x:v>1</x:v>
      </x:c>
      <x:c r="O229" s="38" t="str">
        <x:v>Unidad</x:v>
      </x:c>
      <x:c r="P229" s="99" t="n">
        <x:v>5.25</x:v>
      </x:c>
      <x:c r="Q229" s="114" t="n">
        <x:v>0.75</x:v>
      </x:c>
      <x:c r="R229" s="99" t="n">
        <x:v>5.25</x:v>
      </x:c>
      <x:c r="S229" s="99" t="n">
        <x:f>IFERROR(R229/L229,P229*(1-Q229))</x:f>
        <x:v>1.3125</x:v>
      </x:c>
      <x:c r="T229" s="114" t="n">
        <x:v>0.07</x:v>
      </x:c>
      <x:c r="U229" s="99" t="n">
        <x:f>S229*(1+T229)</x:f>
        <x:v>1.4043750000000002</x:v>
      </x:c>
      <x:c r="V229" s="99" t="n">
        <x:f>S229</x:f>
        <x:v>1.3125</x:v>
      </x:c>
      <x:c r="W229" s="99" t="n">
        <x:f>V229-S229</x:f>
        <x:v>0</x:v>
      </x:c>
      <x:c r="X229" s="114" t="n">
        <x:f>IFERROR(W229/V229,0)</x:f>
        <x:v>0</x:v>
      </x:c>
      <x:c r="Y229" s="38" t="str">
        <x:v>Por unidad</x:v>
      </x:c>
      <x:c r="Z229" s="38" t="str">
        <x:f>IF(Y229="Botella / 3 instalaciones","Precio botella / 3",IF(Y229="Por rollo o metros proporcionales","Si se pasa rollo: rollo completo. Si se pasan metros: proporcional",Y229))</x:f>
        <x:v>Por unidad</x:v>
      </x:c>
      <x:c r="AA229" s="38" t="n">
        <x:v>1</x:v>
      </x:c>
      <x:c r="AB229" s="38" t="str"/>
      <x:c r="AC229" s="38" t="str"/>
      <x:c r="AD229" s="116" t="str">
        <x:v>2026-06-30</x:v>
      </x:c>
      <x:c r="AE229" s="38" t="str">
        <x:v>No</x:v>
      </x:c>
      <x:c r="AF229" s="38" t="str"/>
    </x:row>
    <x:row r="230">
      <x:c r="A230" s="38" t="str">
        <x:v>MAT-0229</x:v>
      </x:c>
      <x:c r="B230" s="38" t="str">
        <x:v>Sí</x:v>
      </x:c>
      <x:c r="C230" s="38" t="str">
        <x:v>Sin clasificar</x:v>
      </x:c>
      <x:c r="D230" s="38" t="str"/>
      <x:c r="E230" s="38" t="str">
        <x:v>Tuerca Bup Hammerfix M8</x:v>
      </x:c>
      <x:c r="F230" s="38" t="str">
        <x:v>TUERCA BUP HAMMERFIX M8</x:v>
      </x:c>
      <x:c r="G230" s="38" t="str">
        <x:v>665185108</x:v>
      </x:c>
      <x:c r="H230" s="38" t="str">
        <x:v>Sánchez Arencibia, S.A.</x:v>
      </x:c>
      <x:c r="I230" s="38" t="str">
        <x:v>Factura F/232,230</x:v>
      </x:c>
      <x:c r="J230" s="115" t="str">
        <x:v>31/12/2025</x:v>
      </x:c>
      <x:c r="K230" s="38" t="str">
        <x:v>Albarán TF 532,011 (18/12/2025)</x:v>
      </x:c>
      <x:c r="L230" s="38" t="n">
        <x:v>8</x:v>
      </x:c>
      <x:c r="M230" s="38" t="str">
        <x:v>Unidad</x:v>
      </x:c>
      <x:c r="N230" s="38" t="n">
        <x:v>1</x:v>
      </x:c>
      <x:c r="O230" s="38" t="str">
        <x:v>Unidad</x:v>
      </x:c>
      <x:c r="P230" s="99" t="n">
        <x:v>4.34</x:v>
      </x:c>
      <x:c r="Q230" s="114" t="n">
        <x:v>0.75</x:v>
      </x:c>
      <x:c r="R230" s="99" t="n">
        <x:v>8.68</x:v>
      </x:c>
      <x:c r="S230" s="99" t="n">
        <x:f>IFERROR(R230/L230,P230*(1-Q230))</x:f>
        <x:v>1.085</x:v>
      </x:c>
      <x:c r="T230" s="114" t="n">
        <x:v>0.07</x:v>
      </x:c>
      <x:c r="U230" s="99" t="n">
        <x:f>S230*(1+T230)</x:f>
        <x:v>1.16095</x:v>
      </x:c>
      <x:c r="V230" s="99" t="n">
        <x:f>S230</x:f>
        <x:v>1.085</x:v>
      </x:c>
      <x:c r="W230" s="99" t="n">
        <x:f>V230-S230</x:f>
        <x:v>0</x:v>
      </x:c>
      <x:c r="X230" s="114" t="n">
        <x:f>IFERROR(W230/V230,0)</x:f>
        <x:v>0</x:v>
      </x:c>
      <x:c r="Y230" s="38" t="str">
        <x:v>Por unidad</x:v>
      </x:c>
      <x:c r="Z230" s="38" t="str">
        <x:f>IF(Y230="Botella / 3 instalaciones","Precio botella / 3",IF(Y230="Por rollo o metros proporcionales","Si se pasa rollo: rollo completo. Si se pasan metros: proporcional",Y230))</x:f>
        <x:v>Por unidad</x:v>
      </x:c>
      <x:c r="AA230" s="38" t="n">
        <x:v>1</x:v>
      </x:c>
      <x:c r="AB230" s="38" t="str"/>
      <x:c r="AC230" s="38" t="str"/>
      <x:c r="AD230" s="116" t="str">
        <x:v>2026-06-30</x:v>
      </x:c>
      <x:c r="AE230" s="38" t="str">
        <x:v>Sí</x:v>
      </x:c>
      <x:c r="AF230" s="38" t="str">
        <x:v>Revisar categoría antes de usar en cálculo automático.</x:v>
      </x:c>
    </x:row>
    <x:row r="231">
      <x:c r="A231" s="38" t="str">
        <x:v>MAT-0230</x:v>
      </x:c>
      <x:c r="B231" s="38" t="str">
        <x:v>Sí</x:v>
      </x:c>
      <x:c r="C231" s="38" t="str">
        <x:v>Sin clasificar</x:v>
      </x:c>
      <x:c r="D231" s="38" t="str"/>
      <x:c r="E231" s="38" t="str">
        <x:v>Carril Pesada 41X21X2.5 2Mt</x:v>
      </x:c>
      <x:c r="F231" s="38" t="str">
        <x:v>CARRIL PESADA 41X21X2.5 2MT</x:v>
      </x:c>
      <x:c r="G231" s="38" t="str">
        <x:v>6505225 (41/H)</x:v>
      </x:c>
      <x:c r="H231" s="38" t="str">
        <x:v>Sánchez Arencibia, S.A.</x:v>
      </x:c>
      <x:c r="I231" s="38" t="str">
        <x:v>Factura F/232,230</x:v>
      </x:c>
      <x:c r="J231" s="115" t="str">
        <x:v>31/12/2025</x:v>
      </x:c>
      <x:c r="K231" s="38" t="str">
        <x:v>Albarán TF 532,078 (19/12/2025)</x:v>
      </x:c>
      <x:c r="L231" s="38" t="n">
        <x:v>3</x:v>
      </x:c>
      <x:c r="M231" s="38" t="str">
        <x:v>Unidad</x:v>
      </x:c>
      <x:c r="N231" s="38" t="n">
        <x:v>1</x:v>
      </x:c>
      <x:c r="O231" s="38" t="str">
        <x:v>Unidad</x:v>
      </x:c>
      <x:c r="P231" s="99" t="n">
        <x:v>44.48</x:v>
      </x:c>
      <x:c r="Q231" s="114" t="n">
        <x:v>0.75</x:v>
      </x:c>
      <x:c r="R231" s="99" t="n">
        <x:v>33.36</x:v>
      </x:c>
      <x:c r="S231" s="99" t="n">
        <x:f>IFERROR(R231/L231,P231*(1-Q231))</x:f>
        <x:v>11.12</x:v>
      </x:c>
      <x:c r="T231" s="114" t="n">
        <x:v>0.07</x:v>
      </x:c>
      <x:c r="U231" s="99" t="n">
        <x:f>S231*(1+T231)</x:f>
        <x:v>11.8984</x:v>
      </x:c>
      <x:c r="V231" s="99" t="n">
        <x:f>S231</x:f>
        <x:v>11.12</x:v>
      </x:c>
      <x:c r="W231" s="99" t="n">
        <x:f>V231-S231</x:f>
        <x:v>0</x:v>
      </x:c>
      <x:c r="X231" s="114" t="n">
        <x:f>IFERROR(W231/V231,0)</x:f>
        <x:v>0</x:v>
      </x:c>
      <x:c r="Y231" s="38" t="str">
        <x:v>Por unidad</x:v>
      </x:c>
      <x:c r="Z231" s="38" t="str">
        <x:f>IF(Y231="Botella / 3 instalaciones","Precio botella / 3",IF(Y231="Por rollo o metros proporcionales","Si se pasa rollo: rollo completo. Si se pasan metros: proporcional",Y231))</x:f>
        <x:v>Por unidad</x:v>
      </x:c>
      <x:c r="AA231" s="38" t="n">
        <x:v>1</x:v>
      </x:c>
      <x:c r="AB231" s="38" t="str"/>
      <x:c r="AC231" s="38" t="str"/>
      <x:c r="AD231" s="116" t="str">
        <x:v>2026-06-30</x:v>
      </x:c>
      <x:c r="AE231" s="38" t="str">
        <x:v>Sí</x:v>
      </x:c>
      <x:c r="AF231" s="38" t="str">
        <x:v>Revisar categoría antes de usar en cálculo automático.</x:v>
      </x:c>
    </x:row>
    <x:row r="232">
      <x:c r="A232" s="38" t="str">
        <x:v>MAT-0231</x:v>
      </x:c>
      <x:c r="B232" s="38" t="str">
        <x:v>Sí</x:v>
      </x:c>
      <x:c r="C232" s="38" t="str">
        <x:v>Sin clasificar</x:v>
      </x:c>
      <x:c r="D232" s="38" t="str"/>
      <x:c r="E232" s="38" t="str">
        <x:v>Codo Soldar</x:v>
      </x:c>
      <x:c r="F232" s="38" t="str">
        <x:v>CODO SOLDAR</x:v>
      </x:c>
      <x:c r="G232" s="38" t="str">
        <x:v>1-1/8</x:v>
      </x:c>
      <x:c r="H232" s="38" t="str">
        <x:v>Sánchez Arencibia, S.A.</x:v>
      </x:c>
      <x:c r="I232" s="38" t="str">
        <x:v>Factura F/232,230</x:v>
      </x:c>
      <x:c r="J232" s="115" t="str">
        <x:v>31/12/2025</x:v>
      </x:c>
      <x:c r="K232" s="38" t="str">
        <x:v>Albarán TF 532,078 (19/12/2025)</x:v>
      </x:c>
      <x:c r="L232" s="38" t="n">
        <x:v>5</x:v>
      </x:c>
      <x:c r="M232" s="38" t="str">
        <x:v>Unidad</x:v>
      </x:c>
      <x:c r="N232" s="38" t="n">
        <x:v>1</x:v>
      </x:c>
      <x:c r="O232" s="38" t="str">
        <x:v>Unidad</x:v>
      </x:c>
      <x:c r="P232" s="99" t="n">
        <x:v>3.08</x:v>
      </x:c>
      <x:c r="Q232" s="114" t="n">
        <x:v>0.34</x:v>
      </x:c>
      <x:c r="R232" s="99" t="n">
        <x:v>10.16</x:v>
      </x:c>
      <x:c r="S232" s="99" t="n">
        <x:f>IFERROR(R232/L232,P232*(1-Q232))</x:f>
        <x:v>2.032</x:v>
      </x:c>
      <x:c r="T232" s="114" t="n">
        <x:v>0.07</x:v>
      </x:c>
      <x:c r="U232" s="99" t="n">
        <x:f>S232*(1+T232)</x:f>
        <x:v>2.17424</x:v>
      </x:c>
      <x:c r="V232" s="99" t="n">
        <x:f>S232</x:f>
        <x:v>2.032</x:v>
      </x:c>
      <x:c r="W232" s="99" t="n">
        <x:f>V232-S232</x:f>
        <x:v>0</x:v>
      </x:c>
      <x:c r="X232" s="114" t="n">
        <x:f>IFERROR(W232/V232,0)</x:f>
        <x:v>0</x:v>
      </x:c>
      <x:c r="Y232" s="38" t="str">
        <x:v>Por unidad</x:v>
      </x:c>
      <x:c r="Z232" s="38" t="str">
        <x:f>IF(Y232="Botella / 3 instalaciones","Precio botella / 3",IF(Y232="Por rollo o metros proporcionales","Si se pasa rollo: rollo completo. Si se pasan metros: proporcional",Y232))</x:f>
        <x:v>Por unidad</x:v>
      </x:c>
      <x:c r="AA232" s="38" t="n">
        <x:v>1</x:v>
      </x:c>
      <x:c r="AB232" s="38" t="str"/>
      <x:c r="AC232" s="38" t="str"/>
      <x:c r="AD232" s="116" t="str">
        <x:v>2026-06-30</x:v>
      </x:c>
      <x:c r="AE232" s="38" t="str">
        <x:v>Sí</x:v>
      </x:c>
      <x:c r="AF232" s="38" t="str">
        <x:v>Revisar categoría antes de usar en cálculo automático.</x:v>
      </x:c>
    </x:row>
    <x:row r="233">
      <x:c r="A233" s="38" t="str">
        <x:v>MAT-0232</x:v>
      </x:c>
      <x:c r="B233" s="38" t="str">
        <x:v>Sí</x:v>
      </x:c>
      <x:c r="C233" s="38" t="str">
        <x:v>Sin clasificar</x:v>
      </x:c>
      <x:c r="D233" s="38" t="str"/>
      <x:c r="E233" s="38" t="str">
        <x:v>Curva 90º</x:v>
      </x:c>
      <x:c r="F233" s="38" t="str">
        <x:v>CURVA 90º</x:v>
      </x:c>
      <x:c r="G233" s="38" t="str">
        <x:v>1-1/8</x:v>
      </x:c>
      <x:c r="H233" s="38" t="str">
        <x:v>Sánchez Arencibia, S.A.</x:v>
      </x:c>
      <x:c r="I233" s="38" t="str">
        <x:v>Factura F/232,230</x:v>
      </x:c>
      <x:c r="J233" s="115" t="str">
        <x:v>31/12/2025</x:v>
      </x:c>
      <x:c r="K233" s="38" t="str">
        <x:v>Albarán TF 532,078 (19/12/2025)</x:v>
      </x:c>
      <x:c r="L233" s="38" t="n">
        <x:v>5</x:v>
      </x:c>
      <x:c r="M233" s="38" t="str">
        <x:v>Unidad</x:v>
      </x:c>
      <x:c r="N233" s="38" t="n">
        <x:v>1</x:v>
      </x:c>
      <x:c r="O233" s="38" t="str">
        <x:v>Unidad</x:v>
      </x:c>
      <x:c r="P233" s="99" t="n">
        <x:v>4.59</x:v>
      </x:c>
      <x:c r="Q233" s="114" t="n">
        <x:v>0.34</x:v>
      </x:c>
      <x:c r="R233" s="99" t="n">
        <x:v>15.15</x:v>
      </x:c>
      <x:c r="S233" s="99" t="n">
        <x:f>IFERROR(R233/L233,P233*(1-Q233))</x:f>
        <x:v>3.0300000000000002</x:v>
      </x:c>
      <x:c r="T233" s="114" t="n">
        <x:v>0.07</x:v>
      </x:c>
      <x:c r="U233" s="99" t="n">
        <x:f>S233*(1+T233)</x:f>
        <x:v>3.2421000000000006</x:v>
      </x:c>
      <x:c r="V233" s="99" t="n">
        <x:f>S233</x:f>
        <x:v>3.0300000000000002</x:v>
      </x:c>
      <x:c r="W233" s="99" t="n">
        <x:f>V233-S233</x:f>
        <x:v>0</x:v>
      </x:c>
      <x:c r="X233" s="114" t="n">
        <x:f>IFERROR(W233/V233,0)</x:f>
        <x:v>0</x:v>
      </x:c>
      <x:c r="Y233" s="38" t="str">
        <x:v>Por unidad</x:v>
      </x:c>
      <x:c r="Z233" s="38" t="str">
        <x:f>IF(Y233="Botella / 3 instalaciones","Precio botella / 3",IF(Y233="Por rollo o metros proporcionales","Si se pasa rollo: rollo completo. Si se pasan metros: proporcional",Y233))</x:f>
        <x:v>Por unidad</x:v>
      </x:c>
      <x:c r="AA233" s="38" t="n">
        <x:v>1</x:v>
      </x:c>
      <x:c r="AB233" s="38" t="str"/>
      <x:c r="AC233" s="38" t="str"/>
      <x:c r="AD233" s="116" t="str">
        <x:v>2026-06-30</x:v>
      </x:c>
      <x:c r="AE233" s="38" t="str">
        <x:v>Sí</x:v>
      </x:c>
      <x:c r="AF233" s="38" t="str">
        <x:v>Revisar categoría antes de usar en cálculo automático.</x:v>
      </x:c>
    </x:row>
    <x:row r="234">
      <x:c r="A234" s="38" t="str">
        <x:v>MAT-0233</x:v>
      </x:c>
      <x:c r="B234" s="38" t="str">
        <x:v>Sí</x:v>
      </x:c>
      <x:c r="C234" s="38" t="str">
        <x:v>Conductos/Ventilación</x:v>
      </x:c>
      <x:c r="D234" s="38" t="str">
        <x:v>Conducto/accesorio</x:v>
      </x:c>
      <x:c r="E234" s="38" t="str">
        <x:v>Manguito Soldar</x:v>
      </x:c>
      <x:c r="F234" s="38" t="str">
        <x:v>MANGUITO SOLDAR</x:v>
      </x:c>
      <x:c r="G234" s="38" t="str">
        <x:v>1-1/8</x:v>
      </x:c>
      <x:c r="H234" s="38" t="str">
        <x:v>Sánchez Arencibia, S.A.</x:v>
      </x:c>
      <x:c r="I234" s="38" t="str">
        <x:v>Factura F/232,230</x:v>
      </x:c>
      <x:c r="J234" s="115" t="str">
        <x:v>31/12/2025</x:v>
      </x:c>
      <x:c r="K234" s="38" t="str">
        <x:v>Albarán TF 532,078 (19/12/2025)</x:v>
      </x:c>
      <x:c r="L234" s="38" t="n">
        <x:v>4</x:v>
      </x:c>
      <x:c r="M234" s="38" t="str">
        <x:v>Unidad</x:v>
      </x:c>
      <x:c r="N234" s="38" t="n">
        <x:v>1</x:v>
      </x:c>
      <x:c r="O234" s="38" t="str">
        <x:v>Unidad</x:v>
      </x:c>
      <x:c r="P234" s="99" t="n">
        <x:v>2.14</x:v>
      </x:c>
      <x:c r="Q234" s="114" t="n">
        <x:v>0.34</x:v>
      </x:c>
      <x:c r="R234" s="99" t="n">
        <x:v>5.65</x:v>
      </x:c>
      <x:c r="S234" s="99" t="n">
        <x:f>IFERROR(R234/L234,P234*(1-Q234))</x:f>
        <x:v>1.4125</x:v>
      </x:c>
      <x:c r="T234" s="114" t="n">
        <x:v>0.07</x:v>
      </x:c>
      <x:c r="U234" s="99" t="n">
        <x:f>S234*(1+T234)</x:f>
        <x:v>1.5113750000000001</x:v>
      </x:c>
      <x:c r="V234" s="99" t="n">
        <x:f>S234</x:f>
        <x:v>1.4125</x:v>
      </x:c>
      <x:c r="W234" s="99" t="n">
        <x:f>V234-S234</x:f>
        <x:v>0</x:v>
      </x:c>
      <x:c r="X234" s="114" t="n">
        <x:f>IFERROR(W234/V234,0)</x:f>
        <x:v>0</x:v>
      </x:c>
      <x:c r="Y234" s="38" t="str">
        <x:v>Por unidad</x:v>
      </x:c>
      <x:c r="Z234" s="38" t="str">
        <x:f>IF(Y234="Botella / 3 instalaciones","Precio botella / 3",IF(Y234="Por rollo o metros proporcionales","Si se pasa rollo: rollo completo. Si se pasan metros: proporcional",Y234))</x:f>
        <x:v>Por unidad</x:v>
      </x:c>
      <x:c r="AA234" s="38" t="n">
        <x:v>1</x:v>
      </x:c>
      <x:c r="AB234" s="38" t="str"/>
      <x:c r="AC234" s="38" t="str"/>
      <x:c r="AD234" s="116" t="str">
        <x:v>2026-06-30</x:v>
      </x:c>
      <x:c r="AE234" s="38" t="str">
        <x:v>No</x:v>
      </x:c>
      <x:c r="AF234" s="38" t="str"/>
    </x:row>
    <x:row r="235">
      <x:c r="A235" s="38" t="str">
        <x:v>MAT-0234</x:v>
      </x:c>
      <x:c r="B235" s="38" t="str">
        <x:v>Sí</x:v>
      </x:c>
      <x:c r="C235" s="38" t="str">
        <x:v>Pequeño material</x:v>
      </x:c>
      <x:c r="D235" s="38" t="str">
        <x:v>Consumible</x:v>
      </x:c>
      <x:c r="E235" s="38" t="str">
        <x:v>Ace/P Armaflex Tira 2 Mts.</x:v>
      </x:c>
      <x:c r="F235" s="38" t="str">
        <x:v>ACE/P ARMAFLEX TIRA 2 MTS.</x:v>
      </x:c>
      <x:c r="G235" s="38" t="str">
        <x:v>ACE/P-25X028</x:v>
      </x:c>
      <x:c r="H235" s="38" t="str">
        <x:v>Sánchez Arencibia, S.A.</x:v>
      </x:c>
      <x:c r="I235" s="38" t="str">
        <x:v>Factura F/232,230</x:v>
      </x:c>
      <x:c r="J235" s="115" t="str">
        <x:v>31/12/2025</x:v>
      </x:c>
      <x:c r="K235" s="38" t="str">
        <x:v>Albarán TF 532,078 (19/12/2025)</x:v>
      </x:c>
      <x:c r="L235" s="38" t="n">
        <x:v>1</x:v>
      </x:c>
      <x:c r="M235" s="38" t="str">
        <x:v>Unidad</x:v>
      </x:c>
      <x:c r="N235" s="38" t="n">
        <x:v>1</x:v>
      </x:c>
      <x:c r="O235" s="38" t="str">
        <x:v>Unidad</x:v>
      </x:c>
      <x:c r="P235" s="99" t="n">
        <x:v>11.07</x:v>
      </x:c>
      <x:c r="Q235" s="114" t="n">
        <x:v>0.37</x:v>
      </x:c>
      <x:c r="R235" s="99" t="n">
        <x:v>6.97</x:v>
      </x:c>
      <x:c r="S235" s="99" t="n">
        <x:f>IFERROR(R235/L235,P235*(1-Q235))</x:f>
        <x:v>6.97</x:v>
      </x:c>
      <x:c r="T235" s="114" t="n">
        <x:v>0.03</x:v>
      </x:c>
      <x:c r="U235" s="99" t="n">
        <x:f>S235*(1+T235)</x:f>
        <x:v>7.1791</x:v>
      </x:c>
      <x:c r="V235" s="99" t="n">
        <x:f>S235</x:f>
        <x:v>6.97</x:v>
      </x:c>
      <x:c r="W235" s="99" t="n">
        <x:f>V235-S235</x:f>
        <x:v>0</x:v>
      </x:c>
      <x:c r="X235" s="114" t="n">
        <x:f>IFERROR(W235/V235,0)</x:f>
        <x:v>0</x:v>
      </x:c>
      <x:c r="Y235" s="38" t="str">
        <x:v>Por unidad</x:v>
      </x:c>
      <x:c r="Z235" s="38" t="str">
        <x:f>IF(Y235="Botella / 3 instalaciones","Precio botella / 3",IF(Y235="Por rollo o metros proporcionales","Si se pasa rollo: rollo completo. Si se pasan metros: proporcional",Y235))</x:f>
        <x:v>Por unidad</x:v>
      </x:c>
      <x:c r="AA235" s="38" t="n">
        <x:v>1</x:v>
      </x:c>
      <x:c r="AB235" s="38" t="str"/>
      <x:c r="AC235" s="38" t="str"/>
      <x:c r="AD235" s="116" t="str">
        <x:v>2026-06-30</x:v>
      </x:c>
      <x:c r="AE235" s="38" t="str">
        <x:v>No</x:v>
      </x:c>
      <x:c r="AF235" s="38" t="str"/>
    </x:row>
    <x:row r="236">
      <x:c r="A236" s="38" t="str">
        <x:v>MAT-0235</x:v>
      </x:c>
      <x:c r="B236" s="38" t="str">
        <x:v>Sí</x:v>
      </x:c>
      <x:c r="C236" s="38" t="str">
        <x:v>Tubería frigorífica</x:v>
      </x:c>
      <x:c r="D236" s="38" t="str">
        <x:v>Cobre frigorífico aislado</x:v>
      </x:c>
      <x:c r="E236" s="38" t="str">
        <x:v>Tubo Cobre Aisl. 20 Mts</x:v>
      </x:c>
      <x:c r="F236" s="38" t="str">
        <x:v>TUBO COBRE AISL. 20 MTS</x:v>
      </x:c>
      <x:c r="G236" s="38" t="str">
        <x:v>BIPOL. 1/4+1/2</x:v>
      </x:c>
      <x:c r="H236" s="38" t="str">
        <x:v>Sánchez Arencibia, S.A.</x:v>
      </x:c>
      <x:c r="I236" s="38" t="str">
        <x:v>Factura F/230,238</x:v>
      </x:c>
      <x:c r="J236" s="115" t="str">
        <x:v>30/09/2025</x:v>
      </x:c>
      <x:c r="K236" s="38" t="str">
        <x:v>Albarán TF 526,780 (17/09/2025)</x:v>
      </x:c>
      <x:c r="L236" s="38" t="n">
        <x:v>2</x:v>
      </x:c>
      <x:c r="M236" s="38" t="str">
        <x:v>Rollo</x:v>
      </x:c>
      <x:c r="N236" s="38" t="n">
        <x:v>20</x:v>
      </x:c>
      <x:c r="O236" s="38" t="str">
        <x:v>Metro</x:v>
      </x:c>
      <x:c r="P236" s="99" t="n">
        <x:v>142.6</x:v>
      </x:c>
      <x:c r="Q236" s="114" t="n">
        <x:v>0.3</x:v>
      </x:c>
      <x:c r="R236" s="99" t="n">
        <x:v>199.64</x:v>
      </x:c>
      <x:c r="S236" s="99" t="n">
        <x:f>IFERROR(R236/L236,P236*(1-Q236))</x:f>
        <x:v>99.82</x:v>
      </x:c>
      <x:c r="T236" s="114" t="n">
        <x:v>0.07</x:v>
      </x:c>
      <x:c r="U236" s="99" t="n">
        <x:f>S236*(1+T236)</x:f>
        <x:v>106.8074</x:v>
      </x:c>
      <x:c r="V236" s="99" t="n">
        <x:f>S236</x:f>
        <x:v>99.82</x:v>
      </x:c>
      <x:c r="W236" s="99" t="n">
        <x:f>V236-S236</x:f>
        <x:v>0</x:v>
      </x:c>
      <x:c r="X236" s="114" t="n">
        <x:f>IFERROR(W236/V236,0)</x:f>
        <x:v>0</x:v>
      </x:c>
      <x:c r="Y236" s="38" t="str">
        <x:v>Por rollo o metros proporcionales</x:v>
      </x:c>
      <x:c r="Z236" s="38" t="str">
        <x:f>IF(Y236="Botella / 3 instalaciones","Precio botella / 3",IF(Y236="Por rollo o metros proporcionales","Si se pasa rollo: rollo completo. Si se pasan metros: proporcional",Y236))</x:f>
        <x:v>Si se pasa rollo: rollo completo. Si se pasan metros: proporcional</x:v>
      </x:c>
      <x:c r="AA236" s="38" t="n">
        <x:v>20</x:v>
      </x:c>
      <x:c r="AB236" s="38" t="str"/>
      <x:c r="AC236" s="38" t="str"/>
      <x:c r="AD236" s="116" t="str">
        <x:v>2026-06-30</x:v>
      </x:c>
      <x:c r="AE236" s="38" t="str">
        <x:v>No</x:v>
      </x:c>
      <x:c r="AF236" s="38" t="str"/>
    </x:row>
    <x:row r="237">
      <x:c r="A237" s="38" t="str">
        <x:v>MAT-0236</x:v>
      </x:c>
      <x:c r="B237" s="38" t="str">
        <x:v>Sí</x:v>
      </x:c>
      <x:c r="C237" s="38" t="str">
        <x:v>Tubería frigorífica</x:v>
      </x:c>
      <x:c r="D237" s="38" t="str">
        <x:v>Cobre frigorífico aislado</x:v>
      </x:c>
      <x:c r="E237" s="38" t="str">
        <x:v>Tubo Cobre Aisl. 20 Mts</x:v>
      </x:c>
      <x:c r="F237" s="38" t="str">
        <x:v>TUBO COBRE AISL. 20 MTS</x:v>
      </x:c>
      <x:c r="G237" s="38" t="str">
        <x:v>BIPOL. 1/4+3/8</x:v>
      </x:c>
      <x:c r="H237" s="38" t="str">
        <x:v>Sánchez Arencibia, S.A.</x:v>
      </x:c>
      <x:c r="I237" s="38" t="str">
        <x:v>Factura F/230,238</x:v>
      </x:c>
      <x:c r="J237" s="115" t="str">
        <x:v>30/09/2025</x:v>
      </x:c>
      <x:c r="K237" s="38" t="str">
        <x:v>Albarán TF 526,780 (17/09/2025)</x:v>
      </x:c>
      <x:c r="L237" s="38" t="n">
        <x:v>4</x:v>
      </x:c>
      <x:c r="M237" s="38" t="str">
        <x:v>Rollo</x:v>
      </x:c>
      <x:c r="N237" s="38" t="n">
        <x:v>20</x:v>
      </x:c>
      <x:c r="O237" s="38" t="str">
        <x:v>Metro</x:v>
      </x:c>
      <x:c r="P237" s="99" t="n">
        <x:v>123.5</x:v>
      </x:c>
      <x:c r="Q237" s="114" t="n">
        <x:v>0.3</x:v>
      </x:c>
      <x:c r="R237" s="99" t="n">
        <x:v>345.8</x:v>
      </x:c>
      <x:c r="S237" s="99" t="n">
        <x:f>IFERROR(R237/L237,P237*(1-Q237))</x:f>
        <x:v>86.45</x:v>
      </x:c>
      <x:c r="T237" s="114" t="n">
        <x:v>0.07</x:v>
      </x:c>
      <x:c r="U237" s="99" t="n">
        <x:f>S237*(1+T237)</x:f>
        <x:v>92.50150000000001</x:v>
      </x:c>
      <x:c r="V237" s="99" t="n">
        <x:f>S237</x:f>
        <x:v>86.45</x:v>
      </x:c>
      <x:c r="W237" s="99" t="n">
        <x:f>V237-S237</x:f>
        <x:v>0</x:v>
      </x:c>
      <x:c r="X237" s="114" t="n">
        <x:f>IFERROR(W237/V237,0)</x:f>
        <x:v>0</x:v>
      </x:c>
      <x:c r="Y237" s="38" t="str">
        <x:v>Por rollo o metros proporcionales</x:v>
      </x:c>
      <x:c r="Z237" s="38" t="str">
        <x:f>IF(Y237="Botella / 3 instalaciones","Precio botella / 3",IF(Y237="Por rollo o metros proporcionales","Si se pasa rollo: rollo completo. Si se pasan metros: proporcional",Y237))</x:f>
        <x:v>Si se pasa rollo: rollo completo. Si se pasan metros: proporcional</x:v>
      </x:c>
      <x:c r="AA237" s="38" t="n">
        <x:v>20</x:v>
      </x:c>
      <x:c r="AB237" s="38" t="str"/>
      <x:c r="AC237" s="38" t="str"/>
      <x:c r="AD237" s="116" t="str">
        <x:v>2026-06-30</x:v>
      </x:c>
      <x:c r="AE237" s="38" t="str">
        <x:v>No</x:v>
      </x:c>
      <x:c r="AF237" s="38" t="str"/>
    </x:row>
    <x:row r="238">
      <x:c r="A238" s="38" t="str">
        <x:v>MAT-0237</x:v>
      </x:c>
      <x:c r="B238" s="38" t="str">
        <x:v>Sí</x:v>
      </x:c>
      <x:c r="C238" s="38" t="str">
        <x:v>Tubería frigorífica</x:v>
      </x:c>
      <x:c r="D238" s="38" t="str">
        <x:v>Cobre frigorífico aislado</x:v>
      </x:c>
      <x:c r="E238" s="38" t="str">
        <x:v>Tubo Cobre Aisl. 20 Mts</x:v>
      </x:c>
      <x:c r="F238" s="38" t="str">
        <x:v>TUBO COBRE AISL. 20 MTS</x:v>
      </x:c>
      <x:c r="G238" s="38" t="str">
        <x:v>BIPOL. 3/8+5/8</x:v>
      </x:c>
      <x:c r="H238" s="38" t="str">
        <x:v>Sánchez Arencibia, S.A.</x:v>
      </x:c>
      <x:c r="I238" s="38" t="str">
        <x:v>Factura F/230,238</x:v>
      </x:c>
      <x:c r="J238" s="115" t="str">
        <x:v>30/09/2025</x:v>
      </x:c>
      <x:c r="K238" s="38" t="str">
        <x:v>Albarán TF 526,780 (17/09/2025)</x:v>
      </x:c>
      <x:c r="L238" s="38" t="n">
        <x:v>1</x:v>
      </x:c>
      <x:c r="M238" s="38" t="str">
        <x:v>Rollo</x:v>
      </x:c>
      <x:c r="N238" s="38" t="n">
        <x:v>20</x:v>
      </x:c>
      <x:c r="O238" s="38" t="str">
        <x:v>Metro</x:v>
      </x:c>
      <x:c r="P238" s="99" t="n">
        <x:v>231</x:v>
      </x:c>
      <x:c r="Q238" s="114" t="n">
        <x:v>0.3</x:v>
      </x:c>
      <x:c r="R238" s="99" t="n">
        <x:v>161.7</x:v>
      </x:c>
      <x:c r="S238" s="99" t="n">
        <x:f>IFERROR(R238/L238,P238*(1-Q238))</x:f>
        <x:v>161.7</x:v>
      </x:c>
      <x:c r="T238" s="114" t="n">
        <x:v>0.07</x:v>
      </x:c>
      <x:c r="U238" s="99" t="n">
        <x:f>S238*(1+T238)</x:f>
        <x:v>173.019</x:v>
      </x:c>
      <x:c r="V238" s="99" t="n">
        <x:f>S238</x:f>
        <x:v>161.7</x:v>
      </x:c>
      <x:c r="W238" s="99" t="n">
        <x:f>V238-S238</x:f>
        <x:v>0</x:v>
      </x:c>
      <x:c r="X238" s="114" t="n">
        <x:f>IFERROR(W238/V238,0)</x:f>
        <x:v>0</x:v>
      </x:c>
      <x:c r="Y238" s="38" t="str">
        <x:v>Por rollo o metros proporcionales</x:v>
      </x:c>
      <x:c r="Z238" s="38" t="str">
        <x:f>IF(Y238="Botella / 3 instalaciones","Precio botella / 3",IF(Y238="Por rollo o metros proporcionales","Si se pasa rollo: rollo completo. Si se pasan metros: proporcional",Y238))</x:f>
        <x:v>Si se pasa rollo: rollo completo. Si se pasan metros: proporcional</x:v>
      </x:c>
      <x:c r="AA238" s="38" t="n">
        <x:v>20</x:v>
      </x:c>
      <x:c r="AB238" s="38" t="str"/>
      <x:c r="AC238" s="38" t="str"/>
      <x:c r="AD238" s="116" t="str">
        <x:v>2026-06-30</x:v>
      </x:c>
      <x:c r="AE238" s="38" t="str">
        <x:v>No</x:v>
      </x:c>
      <x:c r="AF238" s="38" t="str"/>
    </x:row>
    <x:row r="239">
      <x:c r="A239" s="38" t="str">
        <x:v>MAT-0238</x:v>
      </x:c>
      <x:c r="B239" s="38" t="str">
        <x:v>Sí</x:v>
      </x:c>
      <x:c r="C239" s="38" t="str">
        <x:v>Soportes y fijaciones</x:v>
      </x:c>
      <x:c r="D239" s="38" t="str">
        <x:v>Soportes/amortiguadores</x:v>
      </x:c>
      <x:c r="E239" s="38" t="str">
        <x:v>Juego Amortiguadores (4)</x:v>
      </x:c>
      <x:c r="F239" s="38" t="str">
        <x:v>JUEGO AMORTIGUADORES (4)</x:v>
      </x:c>
      <x:c r="G239" s="38" t="str">
        <x:v>SG-60 AIRPACK</x:v>
      </x:c>
      <x:c r="H239" s="38" t="str">
        <x:v>Sánchez Arencibia, S.A.</x:v>
      </x:c>
      <x:c r="I239" s="38" t="str">
        <x:v>Factura F/230,238</x:v>
      </x:c>
      <x:c r="J239" s="115" t="str">
        <x:v>30/09/2025</x:v>
      </x:c>
      <x:c r="K239" s="38" t="str">
        <x:v>Albarán TF 526,780 (17/09/2025)</x:v>
      </x:c>
      <x:c r="L239" s="38" t="n">
        <x:v>6</x:v>
      </x:c>
      <x:c r="M239" s="38" t="str">
        <x:v>Unidad</x:v>
      </x:c>
      <x:c r="N239" s="38" t="n">
        <x:v>1</x:v>
      </x:c>
      <x:c r="O239" s="38" t="str">
        <x:v>Unidad</x:v>
      </x:c>
      <x:c r="P239" s="99" t="n">
        <x:v>5.02</x:v>
      </x:c>
      <x:c r="Q239" s="114" t="n">
        <x:v>0.4</x:v>
      </x:c>
      <x:c r="R239" s="99" t="n">
        <x:v>18.07</x:v>
      </x:c>
      <x:c r="S239" s="99" t="n">
        <x:f>IFERROR(R239/L239,P239*(1-Q239))</x:f>
        <x:v>3.0116666666666667</x:v>
      </x:c>
      <x:c r="T239" s="114" t="n">
        <x:v>0.07</x:v>
      </x:c>
      <x:c r="U239" s="99" t="n">
        <x:f>S239*(1+T239)</x:f>
        <x:v>3.2224833333333334</x:v>
      </x:c>
      <x:c r="V239" s="99" t="n">
        <x:f>S239</x:f>
        <x:v>3.0116666666666667</x:v>
      </x:c>
      <x:c r="W239" s="99" t="n">
        <x:f>V239-S239</x:f>
        <x:v>0</x:v>
      </x:c>
      <x:c r="X239" s="114" t="n">
        <x:f>IFERROR(W239/V239,0)</x:f>
        <x:v>0</x:v>
      </x:c>
      <x:c r="Y239" s="38" t="str">
        <x:v>Por unidad</x:v>
      </x:c>
      <x:c r="Z239" s="38" t="str">
        <x:f>IF(Y239="Botella / 3 instalaciones","Precio botella / 3",IF(Y239="Por rollo o metros proporcionales","Si se pasa rollo: rollo completo. Si se pasan metros: proporcional",Y239))</x:f>
        <x:v>Por unidad</x:v>
      </x:c>
      <x:c r="AA239" s="38" t="n">
        <x:v>1</x:v>
      </x:c>
      <x:c r="AB239" s="38" t="str">
        <x:v>Sánchez Arencibia, S.A.</x:v>
      </x:c>
      <x:c r="AC239" s="38" t="str">
        <x:v>Media-Baja</x:v>
      </x:c>
      <x:c r="AD239" s="116" t="str">
        <x:v>2026-06-30</x:v>
      </x:c>
      <x:c r="AE239" s="38" t="str">
        <x:v>No</x:v>
      </x:c>
      <x:c r="AF239" s="38" t="str">
        <x:v>Comparativa orientativa: revisar ficha/medida antes de decidir proveedor.</x:v>
      </x:c>
    </x:row>
    <x:row r="240">
      <x:c r="A240" s="38" t="str">
        <x:v>MAT-0239</x:v>
      </x:c>
      <x:c r="B240" s="38" t="str">
        <x:v>Sí</x:v>
      </x:c>
      <x:c r="C240" s="38" t="str">
        <x:v>Sin clasificar</x:v>
      </x:c>
      <x:c r="D240" s="38" t="str"/>
      <x:c r="E240" s="38" t="str">
        <x:v>Carril Pesada 41X21X2.5 3Mt</x:v>
      </x:c>
      <x:c r="F240" s="38" t="str">
        <x:v>CARRIL PESADA 41X21X2.5 3MT</x:v>
      </x:c>
      <x:c r="G240" s="38" t="str">
        <x:v>65018327 (BUP)</x:v>
      </x:c>
      <x:c r="H240" s="38" t="str">
        <x:v>Sánchez Arencibia, S.A.</x:v>
      </x:c>
      <x:c r="I240" s="38" t="str">
        <x:v>Factura F/230,238</x:v>
      </x:c>
      <x:c r="J240" s="115" t="str">
        <x:v>30/09/2025</x:v>
      </x:c>
      <x:c r="K240" s="38" t="str">
        <x:v>Albarán TF 526,780 (17/09/2025)</x:v>
      </x:c>
      <x:c r="L240" s="38" t="n">
        <x:v>2</x:v>
      </x:c>
      <x:c r="M240" s="38" t="str">
        <x:v>Unidad</x:v>
      </x:c>
      <x:c r="N240" s="38" t="n">
        <x:v>1</x:v>
      </x:c>
      <x:c r="O240" s="38" t="str">
        <x:v>Unidad</x:v>
      </x:c>
      <x:c r="P240" s="99" t="n">
        <x:v>86.42</x:v>
      </x:c>
      <x:c r="Q240" s="114" t="n">
        <x:v>0.75</x:v>
      </x:c>
      <x:c r="R240" s="99" t="n">
        <x:v>43.21</x:v>
      </x:c>
      <x:c r="S240" s="99" t="n">
        <x:f>IFERROR(R240/L240,P240*(1-Q240))</x:f>
        <x:v>21.605</x:v>
      </x:c>
      <x:c r="T240" s="114" t="n">
        <x:v>0.07</x:v>
      </x:c>
      <x:c r="U240" s="99" t="n">
        <x:f>S240*(1+T240)</x:f>
        <x:v>23.117350000000002</x:v>
      </x:c>
      <x:c r="V240" s="99" t="n">
        <x:f>S240</x:f>
        <x:v>21.605</x:v>
      </x:c>
      <x:c r="W240" s="99" t="n">
        <x:f>V240-S240</x:f>
        <x:v>0</x:v>
      </x:c>
      <x:c r="X240" s="114" t="n">
        <x:f>IFERROR(W240/V240,0)</x:f>
        <x:v>0</x:v>
      </x:c>
      <x:c r="Y240" s="38" t="str">
        <x:v>Por unidad</x:v>
      </x:c>
      <x:c r="Z240" s="38" t="str">
        <x:f>IF(Y240="Botella / 3 instalaciones","Precio botella / 3",IF(Y240="Por rollo o metros proporcionales","Si se pasa rollo: rollo completo. Si se pasan metros: proporcional",Y240))</x:f>
        <x:v>Por unidad</x:v>
      </x:c>
      <x:c r="AA240" s="38" t="n">
        <x:v>1</x:v>
      </x:c>
      <x:c r="AB240" s="38" t="str"/>
      <x:c r="AC240" s="38" t="str"/>
      <x:c r="AD240" s="116" t="str">
        <x:v>2026-06-30</x:v>
      </x:c>
      <x:c r="AE240" s="38" t="str">
        <x:v>Sí</x:v>
      </x:c>
      <x:c r="AF240" s="38" t="str">
        <x:v>Revisar categoría antes de usar en cálculo automático.</x:v>
      </x:c>
    </x:row>
    <x:row r="241">
      <x:c r="A241" s="38" t="str">
        <x:v>MAT-0240</x:v>
      </x:c>
      <x:c r="B241" s="38" t="str">
        <x:v>Sí</x:v>
      </x:c>
      <x:c r="C241" s="38" t="str">
        <x:v>Pequeño material</x:v>
      </x:c>
      <x:c r="D241" s="38" t="str">
        <x:v>Consumible</x:v>
      </x:c>
      <x:c r="E241" s="38" t="str">
        <x:v>Tornillo Bup Hamm M8X40 Cp</x:v>
      </x:c>
      <x:c r="F241" s="38" t="str">
        <x:v>TORNILLO BUP HAMM M8X40 CP</x:v>
      </x:c>
      <x:c r="G241" s="38" t="str">
        <x:v>652785804</x:v>
      </x:c>
      <x:c r="H241" s="38" t="str">
        <x:v>Sánchez Arencibia, S.A.</x:v>
      </x:c>
      <x:c r="I241" s="38" t="str">
        <x:v>Factura F/230,238</x:v>
      </x:c>
      <x:c r="J241" s="115" t="str">
        <x:v>30/09/2025</x:v>
      </x:c>
      <x:c r="K241" s="38" t="str">
        <x:v>Albarán TF 526,780 (17/09/2025)</x:v>
      </x:c>
      <x:c r="L241" s="38" t="n">
        <x:v>4</x:v>
      </x:c>
      <x:c r="M241" s="38" t="str">
        <x:v>Unidad</x:v>
      </x:c>
      <x:c r="N241" s="38" t="n">
        <x:v>1</x:v>
      </x:c>
      <x:c r="O241" s="38" t="str">
        <x:v>Unidad</x:v>
      </x:c>
      <x:c r="P241" s="99" t="n">
        <x:v>5.25</x:v>
      </x:c>
      <x:c r="Q241" s="114" t="n">
        <x:v>0.75</x:v>
      </x:c>
      <x:c r="R241" s="99" t="n">
        <x:v>5.25</x:v>
      </x:c>
      <x:c r="S241" s="99" t="n">
        <x:f>IFERROR(R241/L241,P241*(1-Q241))</x:f>
        <x:v>1.3125</x:v>
      </x:c>
      <x:c r="T241" s="114" t="n">
        <x:v>0.07</x:v>
      </x:c>
      <x:c r="U241" s="99" t="n">
        <x:f>S241*(1+T241)</x:f>
        <x:v>1.4043750000000002</x:v>
      </x:c>
      <x:c r="V241" s="99" t="n">
        <x:f>S241</x:f>
        <x:v>1.3125</x:v>
      </x:c>
      <x:c r="W241" s="99" t="n">
        <x:f>V241-S241</x:f>
        <x:v>0</x:v>
      </x:c>
      <x:c r="X241" s="114" t="n">
        <x:f>IFERROR(W241/V241,0)</x:f>
        <x:v>0</x:v>
      </x:c>
      <x:c r="Y241" s="38" t="str">
        <x:v>Por unidad</x:v>
      </x:c>
      <x:c r="Z241" s="38" t="str">
        <x:f>IF(Y241="Botella / 3 instalaciones","Precio botella / 3",IF(Y241="Por rollo o metros proporcionales","Si se pasa rollo: rollo completo. Si se pasan metros: proporcional",Y241))</x:f>
        <x:v>Por unidad</x:v>
      </x:c>
      <x:c r="AA241" s="38" t="n">
        <x:v>1</x:v>
      </x:c>
      <x:c r="AB241" s="38" t="str"/>
      <x:c r="AC241" s="38" t="str"/>
      <x:c r="AD241" s="116" t="str">
        <x:v>2026-06-30</x:v>
      </x:c>
      <x:c r="AE241" s="38" t="str">
        <x:v>No</x:v>
      </x:c>
      <x:c r="AF241" s="38" t="str"/>
    </x:row>
    <x:row r="242">
      <x:c r="A242" s="38" t="str">
        <x:v>MAT-0241</x:v>
      </x:c>
      <x:c r="B242" s="38" t="str">
        <x:v>Sí</x:v>
      </x:c>
      <x:c r="C242" s="38" t="str">
        <x:v>Electricidad</x:v>
      </x:c>
      <x:c r="D242" s="38" t="str">
        <x:v>Cable eléctrico</x:v>
      </x:c>
      <x:c r="E242" s="38" t="str">
        <x:v>Cable Rz1-K Cpr 0.6/1Kv 4G1.5</x:v>
      </x:c>
      <x:c r="F242" s="38" t="str">
        <x:v>CABLE RZ1-K CPR 0.6/1KV 4G1.5</x:v>
      </x:c>
      <x:c r="G242" s="38" t="str">
        <x:v>CABLE / 5551446</x:v>
      </x:c>
      <x:c r="H242" s="38" t="str">
        <x:v>Comercial Eléctrica Canarias, S.A.</x:v>
      </x:c>
      <x:c r="I242" s="38" t="str">
        <x:v>Factura 92484126</x:v>
      </x:c>
      <x:c r="J242" s="115" t="str">
        <x:v>15/06/2026</x:v>
      </x:c>
      <x:c r="K242" s="38" t="str">
        <x:v>Albarán 132.898/013 (03/06/2026)</x:v>
      </x:c>
      <x:c r="L242" s="38" t="n">
        <x:v>50</x:v>
      </x:c>
      <x:c r="M242" s="38" t="str">
        <x:v>Metro</x:v>
      </x:c>
      <x:c r="N242" s="38" t="n">
        <x:v>1</x:v>
      </x:c>
      <x:c r="O242" s="38" t="str">
        <x:v>Metro</x:v>
      </x:c>
      <x:c r="P242" s="99" t="n">
        <x:v>1.242</x:v>
      </x:c>
      <x:c r="Q242" s="114" t="n">
        <x:v>0</x:v>
      </x:c>
      <x:c r="R242" s="99" t="n">
        <x:v>62.1</x:v>
      </x:c>
      <x:c r="S242" s="99" t="n">
        <x:f>IFERROR(R242/L242,P242*(1-Q242))</x:f>
        <x:v>1.242</x:v>
      </x:c>
      <x:c r="T242" s="114" t="n">
        <x:v>0.07</x:v>
      </x:c>
      <x:c r="U242" s="99" t="n">
        <x:f>S242*(1+T242)</x:f>
        <x:v>1.32894</x:v>
      </x:c>
      <x:c r="V242" s="99" t="n">
        <x:f>S242</x:f>
        <x:v>1.242</x:v>
      </x:c>
      <x:c r="W242" s="99" t="n">
        <x:f>V242-S242</x:f>
        <x:v>0</x:v>
      </x:c>
      <x:c r="X242" s="114" t="n">
        <x:f>IFERROR(W242/V242,0)</x:f>
        <x:v>0</x:v>
      </x:c>
      <x:c r="Y242" s="38" t="str">
        <x:v>Por metros</x:v>
      </x:c>
      <x:c r="Z242" s="38" t="str">
        <x:f>IF(Y242="Botella / 3 instalaciones","Precio botella / 3",IF(Y242="Por rollo o metros proporcionales","Si se pasa rollo: rollo completo. Si se pasan metros: proporcional",Y242))</x:f>
        <x:v>Por metros</x:v>
      </x:c>
      <x:c r="AA242" s="38" t="n">
        <x:v>1</x:v>
      </x:c>
      <x:c r="AB242" s="38" t="str"/>
      <x:c r="AC242" s="38" t="str"/>
      <x:c r="AD242" s="116" t="str">
        <x:v>2026-06-30</x:v>
      </x:c>
      <x:c r="AE242" s="38" t="str">
        <x:v>No</x:v>
      </x:c>
      <x:c r="AF242" s="38" t="str"/>
    </x:row>
    <x:row r="243">
      <x:c r="A243" s="38" t="str">
        <x:v>MAT-0242</x:v>
      </x:c>
      <x:c r="B243" s="38" t="str">
        <x:v>Sí</x:v>
      </x:c>
      <x:c r="C243" s="38" t="str">
        <x:v>Sin clasificar</x:v>
      </x:c>
      <x:c r="D243" s="38" t="str"/>
      <x:c r="E243" s="38" t="str">
        <x:v>Caja Deriv.100X100X50 Ip55</x:v>
      </x:c>
      <x:c r="F243" s="38" t="str">
        <x:v>CAJA DERIV.100x100x50 IP55</x:v>
      </x:c>
      <x:c r="G243" s="38" t="str">
        <x:v>GEW-GW44024 / 944024</x:v>
      </x:c>
      <x:c r="H243" s="38" t="str">
        <x:v>Comercial Eléctrica Canarias, S.A.</x:v>
      </x:c>
      <x:c r="I243" s="38" t="str">
        <x:v>Factura 92484126</x:v>
      </x:c>
      <x:c r="J243" s="115" t="str">
        <x:v>15/06/2026</x:v>
      </x:c>
      <x:c r="K243" s="38" t="str">
        <x:v>Albarán 132.973/013 (08/06/2026)</x:v>
      </x:c>
      <x:c r="L243" s="38" t="n">
        <x:v>2</x:v>
      </x:c>
      <x:c r="M243" s="38" t="str">
        <x:v>Unidad</x:v>
      </x:c>
      <x:c r="N243" s="38" t="n">
        <x:v>1</x:v>
      </x:c>
      <x:c r="O243" s="38" t="str">
        <x:v>Unidad</x:v>
      </x:c>
      <x:c r="P243" s="99" t="n">
        <x:v>1.584</x:v>
      </x:c>
      <x:c r="Q243" s="114" t="n">
        <x:v>0</x:v>
      </x:c>
      <x:c r="R243" s="99" t="n">
        <x:v>3.17</x:v>
      </x:c>
      <x:c r="S243" s="99" t="n">
        <x:f>IFERROR(R243/L243,P243*(1-Q243))</x:f>
        <x:v>1.585</x:v>
      </x:c>
      <x:c r="T243" s="114" t="n">
        <x:v>0.07</x:v>
      </x:c>
      <x:c r="U243" s="99" t="n">
        <x:f>S243*(1+T243)</x:f>
        <x:v>1.69595</x:v>
      </x:c>
      <x:c r="V243" s="99" t="n">
        <x:f>S243</x:f>
        <x:v>1.585</x:v>
      </x:c>
      <x:c r="W243" s="99" t="n">
        <x:f>V243-S243</x:f>
        <x:v>0</x:v>
      </x:c>
      <x:c r="X243" s="114" t="n">
        <x:f>IFERROR(W243/V243,0)</x:f>
        <x:v>0</x:v>
      </x:c>
      <x:c r="Y243" s="38" t="str">
        <x:v>Por unidad</x:v>
      </x:c>
      <x:c r="Z243" s="38" t="str">
        <x:f>IF(Y243="Botella / 3 instalaciones","Precio botella / 3",IF(Y243="Por rollo o metros proporcionales","Si se pasa rollo: rollo completo. Si se pasan metros: proporcional",Y243))</x:f>
        <x:v>Por unidad</x:v>
      </x:c>
      <x:c r="AA243" s="38" t="n">
        <x:v>1</x:v>
      </x:c>
      <x:c r="AB243" s="38" t="str"/>
      <x:c r="AC243" s="38" t="str"/>
      <x:c r="AD243" s="116" t="str">
        <x:v>2026-06-30</x:v>
      </x:c>
      <x:c r="AE243" s="38" t="str">
        <x:v>Sí</x:v>
      </x:c>
      <x:c r="AF243" s="38" t="str">
        <x:v>Revisar categoría antes de usar en cálculo automático.</x:v>
      </x:c>
    </x:row>
    <x:row r="244">
      <x:c r="A244" s="38" t="str">
        <x:v>MAT-0243</x:v>
      </x:c>
      <x:c r="B244" s="38" t="str">
        <x:v>Sí</x:v>
      </x:c>
      <x:c r="C244" s="38" t="str">
        <x:v>Sin clasificar</x:v>
      </x:c>
      <x:c r="D244" s="38" t="str"/>
      <x:c r="E244" s="38" t="str">
        <x:v>Dpn 1Mod. 1P+N 16A C 6Ka</x:v>
      </x:c>
      <x:c r="F244" s="38" t="str">
        <x:v>DPN 1MOD. 1P+N 16A C 6KA</x:v>
      </x:c>
      <x:c r="G244" s="38" t="str">
        <x:v>D1L0110823 / 202376</x:v>
      </x:c>
      <x:c r="H244" s="38" t="str">
        <x:v>Comercial Eléctrica Canarias, S.A.</x:v>
      </x:c>
      <x:c r="I244" s="38" t="str">
        <x:v>Factura 92484126</x:v>
      </x:c>
      <x:c r="J244" s="115" t="str">
        <x:v>15/06/2026</x:v>
      </x:c>
      <x:c r="K244" s="38" t="str">
        <x:v>Albarán 162.995/016 (04/06/2026)</x:v>
      </x:c>
      <x:c r="L244" s="38" t="n">
        <x:v>2</x:v>
      </x:c>
      <x:c r="M244" s="38" t="str">
        <x:v>Unidad</x:v>
      </x:c>
      <x:c r="N244" s="38" t="n">
        <x:v>1</x:v>
      </x:c>
      <x:c r="O244" s="38" t="str">
        <x:v>Unidad</x:v>
      </x:c>
      <x:c r="P244" s="99" t="n">
        <x:v>6.84</x:v>
      </x:c>
      <x:c r="Q244" s="114" t="n">
        <x:v>0</x:v>
      </x:c>
      <x:c r="R244" s="99" t="n">
        <x:v>13.68</x:v>
      </x:c>
      <x:c r="S244" s="99" t="n">
        <x:f>IFERROR(R244/L244,P244*(1-Q244))</x:f>
        <x:v>6.84</x:v>
      </x:c>
      <x:c r="T244" s="114" t="n">
        <x:v>0.07</x:v>
      </x:c>
      <x:c r="U244" s="99" t="n">
        <x:f>S244*(1+T244)</x:f>
        <x:v>7.3188</x:v>
      </x:c>
      <x:c r="V244" s="99" t="n">
        <x:f>S244</x:f>
        <x:v>6.84</x:v>
      </x:c>
      <x:c r="W244" s="99" t="n">
        <x:f>V244-S244</x:f>
        <x:v>0</x:v>
      </x:c>
      <x:c r="X244" s="114" t="n">
        <x:f>IFERROR(W244/V244,0)</x:f>
        <x:v>0</x:v>
      </x:c>
      <x:c r="Y244" s="38" t="str">
        <x:v>Por unidad</x:v>
      </x:c>
      <x:c r="Z244" s="38" t="str">
        <x:f>IF(Y244="Botella / 3 instalaciones","Precio botella / 3",IF(Y244="Por rollo o metros proporcionales","Si se pasa rollo: rollo completo. Si se pasan metros: proporcional",Y244))</x:f>
        <x:v>Por unidad</x:v>
      </x:c>
      <x:c r="AA244" s="38" t="n">
        <x:v>1</x:v>
      </x:c>
      <x:c r="AB244" s="38" t="str"/>
      <x:c r="AC244" s="38" t="str"/>
      <x:c r="AD244" s="116" t="str">
        <x:v>2026-06-30</x:v>
      </x:c>
      <x:c r="AE244" s="38" t="str">
        <x:v>Sí</x:v>
      </x:c>
      <x:c r="AF244" s="38" t="str">
        <x:v>Revisar categoría antes de usar en cálculo automático.</x:v>
      </x:c>
    </x:row>
    <x:row r="245">
      <x:c r="A245" s="38" t="str">
        <x:v>MAT-0244</x:v>
      </x:c>
      <x:c r="B245" s="38" t="str">
        <x:v>Sí</x:v>
      </x:c>
      <x:c r="C245" s="38" t="str">
        <x:v>Sin clasificar</x:v>
      </x:c>
      <x:c r="D245" s="38" t="str"/>
      <x:c r="E245" s="38" t="str">
        <x:v>Downlight Led 18W 4000K Blanco</x:v>
      </x:c>
      <x:c r="F245" s="38" t="str">
        <x:v>DOWNLIGHT LED 18W 4000K BLANCO</x:v>
      </x:c>
      <x:c r="G245" s="38" t="str">
        <x:v>RBL-LEDPANEL18F / 592253</x:v>
      </x:c>
      <x:c r="H245" s="38" t="str">
        <x:v>Comercial Eléctrica Canarias, S.A.</x:v>
      </x:c>
      <x:c r="I245" s="38" t="str">
        <x:v>Factura 92484126</x:v>
      </x:c>
      <x:c r="J245" s="115" t="str">
        <x:v>15/06/2026</x:v>
      </x:c>
      <x:c r="K245" s="38" t="str">
        <x:v>Albarán 163.154/016 (15/06/2026)</x:v>
      </x:c>
      <x:c r="L245" s="38" t="n">
        <x:v>1</x:v>
      </x:c>
      <x:c r="M245" s="38" t="str">
        <x:v>Unidad</x:v>
      </x:c>
      <x:c r="N245" s="38" t="n">
        <x:v>1</x:v>
      </x:c>
      <x:c r="O245" s="38" t="str">
        <x:v>Unidad</x:v>
      </x:c>
      <x:c r="P245" s="99" t="n">
        <x:v>7.691</x:v>
      </x:c>
      <x:c r="Q245" s="114" t="n">
        <x:v>0</x:v>
      </x:c>
      <x:c r="R245" s="99" t="n">
        <x:v>7.77</x:v>
      </x:c>
      <x:c r="S245" s="99" t="n">
        <x:f>IFERROR(R245/L245,P245*(1-Q245))</x:f>
        <x:v>7.77</x:v>
      </x:c>
      <x:c r="T245" s="114" t="n">
        <x:v>0.07</x:v>
      </x:c>
      <x:c r="U245" s="99" t="n">
        <x:f>S245*(1+T245)</x:f>
        <x:v>8.3139</x:v>
      </x:c>
      <x:c r="V245" s="99" t="n">
        <x:f>S245</x:f>
        <x:v>7.77</x:v>
      </x:c>
      <x:c r="W245" s="99" t="n">
        <x:f>V245-S245</x:f>
        <x:v>0</x:v>
      </x:c>
      <x:c r="X245" s="114" t="n">
        <x:f>IFERROR(W245/V245,0)</x:f>
        <x:v>0</x:v>
      </x:c>
      <x:c r="Y245" s="38" t="str">
        <x:v>Por unidad</x:v>
      </x:c>
      <x:c r="Z245" s="38" t="str">
        <x:f>IF(Y245="Botella / 3 instalaciones","Precio botella / 3",IF(Y245="Por rollo o metros proporcionales","Si se pasa rollo: rollo completo. Si se pasan metros: proporcional",Y245))</x:f>
        <x:v>Por unidad</x:v>
      </x:c>
      <x:c r="AA245" s="38" t="n">
        <x:v>1</x:v>
      </x:c>
      <x:c r="AB245" s="38" t="str"/>
      <x:c r="AC245" s="38" t="str"/>
      <x:c r="AD245" s="116" t="str">
        <x:v>2026-06-30</x:v>
      </x:c>
      <x:c r="AE245" s="38" t="str">
        <x:v>Sí</x:v>
      </x:c>
      <x:c r="AF245" s="38" t="str">
        <x:v>Revisar categoría antes de usar en cálculo automático.</x:v>
      </x:c>
    </x:row>
    <x:row r="246">
      <x:c r="A246" s="38" t="str">
        <x:v>MAT-0245</x:v>
      </x:c>
      <x:c r="B246" s="38" t="str">
        <x:v>Sí</x:v>
      </x:c>
      <x:c r="C246" s="38" t="str">
        <x:v>Electricidad</x:v>
      </x:c>
      <x:c r="D246" s="38" t="str">
        <x:v>Cable eléctrico</x:v>
      </x:c>
      <x:c r="E246" s="38" t="str">
        <x:v>Cable H07Z1-K Cpr 1X2.5 Azul</x:v>
      </x:c>
      <x:c r="F246" s="38" t="str">
        <x:v>CABLE H07Z1-K CPR 1X2.5 AZUL</x:v>
      </x:c>
      <x:c r="G246" s="38" t="str">
        <x:v>CABLE / 555165</x:v>
      </x:c>
      <x:c r="H246" s="38" t="str">
        <x:v>Comercial Eléctrica Canarias, S.A.</x:v>
      </x:c>
      <x:c r="I246" s="38" t="str">
        <x:v>Factura 92484126</x:v>
      </x:c>
      <x:c r="J246" s="115" t="str">
        <x:v>15/06/2026</x:v>
      </x:c>
      <x:c r="K246" s="38" t="str">
        <x:v>Albarán 302.787/001 (03/06/2026)</x:v>
      </x:c>
      <x:c r="L246" s="38" t="n">
        <x:v>200</x:v>
      </x:c>
      <x:c r="M246" s="38" t="str">
        <x:v>Metro</x:v>
      </x:c>
      <x:c r="N246" s="38" t="n">
        <x:v>1</x:v>
      </x:c>
      <x:c r="O246" s="38" t="str">
        <x:v>Metro</x:v>
      </x:c>
      <x:c r="P246" s="99" t="n">
        <x:v>0.412</x:v>
      </x:c>
      <x:c r="Q246" s="114" t="n">
        <x:v>0</x:v>
      </x:c>
      <x:c r="R246" s="99" t="n">
        <x:v>82.4</x:v>
      </x:c>
      <x:c r="S246" s="99" t="n">
        <x:f>IFERROR(R246/L246,P246*(1-Q246))</x:f>
        <x:v>0.41200000000000003</x:v>
      </x:c>
      <x:c r="T246" s="114" t="n">
        <x:v>0.07</x:v>
      </x:c>
      <x:c r="U246" s="99" t="n">
        <x:f>S246*(1+T246)</x:f>
        <x:v>0.44084000000000007</x:v>
      </x:c>
      <x:c r="V246" s="99" t="n">
        <x:f>S246</x:f>
        <x:v>0.41200000000000003</x:v>
      </x:c>
      <x:c r="W246" s="99" t="n">
        <x:f>V246-S246</x:f>
        <x:v>0</x:v>
      </x:c>
      <x:c r="X246" s="114" t="n">
        <x:f>IFERROR(W246/V246,0)</x:f>
        <x:v>0</x:v>
      </x:c>
      <x:c r="Y246" s="38" t="str">
        <x:v>Por metros</x:v>
      </x:c>
      <x:c r="Z246" s="38" t="str">
        <x:f>IF(Y246="Botella / 3 instalaciones","Precio botella / 3",IF(Y246="Por rollo o metros proporcionales","Si se pasa rollo: rollo completo. Si se pasan metros: proporcional",Y246))</x:f>
        <x:v>Por metros</x:v>
      </x:c>
      <x:c r="AA246" s="38" t="n">
        <x:v>1</x:v>
      </x:c>
      <x:c r="AB246" s="38" t="str"/>
      <x:c r="AC246" s="38" t="str"/>
      <x:c r="AD246" s="116" t="str">
        <x:v>2026-06-30</x:v>
      </x:c>
      <x:c r="AE246" s="38" t="str">
        <x:v>No</x:v>
      </x:c>
      <x:c r="AF246" s="38" t="str"/>
    </x:row>
    <x:row r="247">
      <x:c r="A247" s="38" t="str">
        <x:v>MAT-0246</x:v>
      </x:c>
      <x:c r="B247" s="38" t="str">
        <x:v>Sí</x:v>
      </x:c>
      <x:c r="C247" s="38" t="str">
        <x:v>Sin clasificar</x:v>
      </x:c>
      <x:c r="D247" s="38" t="str"/>
      <x:c r="E247" s="38" t="str">
        <x:v>Destorn.Plano 3.5X75 1Kv</x:v>
      </x:c>
      <x:c r="F247" s="38" t="str">
        <x:v>DESTORN.PLANO 3.5x75 1KV</x:v>
      </x:c>
      <x:c r="G247" s="38" t="str">
        <x:v>ABK-0-65-411 / 19896352</x:v>
      </x:c>
      <x:c r="H247" s="38" t="str">
        <x:v>Comercial Eléctrica Canarias, S.A.</x:v>
      </x:c>
      <x:c r="I247" s="38" t="str">
        <x:v>Factura 92484126</x:v>
      </x:c>
      <x:c r="J247" s="115" t="str">
        <x:v>15/06/2026</x:v>
      </x:c>
      <x:c r="K247" s="38" t="str">
        <x:v>Albarán 302.787/001 (03/06/2026)</x:v>
      </x:c>
      <x:c r="L247" s="38" t="n">
        <x:v>1</x:v>
      </x:c>
      <x:c r="M247" s="38" t="str">
        <x:v>Unidad</x:v>
      </x:c>
      <x:c r="N247" s="38" t="n">
        <x:v>1</x:v>
      </x:c>
      <x:c r="O247" s="38" t="str">
        <x:v>Unidad</x:v>
      </x:c>
      <x:c r="P247" s="99" t="n">
        <x:v>6.37</x:v>
      </x:c>
      <x:c r="Q247" s="114" t="n">
        <x:v>0</x:v>
      </x:c>
      <x:c r="R247" s="99" t="n">
        <x:v>6.37</x:v>
      </x:c>
      <x:c r="S247" s="99" t="n">
        <x:f>IFERROR(R247/L247,P247*(1-Q247))</x:f>
        <x:v>6.37</x:v>
      </x:c>
      <x:c r="T247" s="114" t="n">
        <x:v>0.07</x:v>
      </x:c>
      <x:c r="U247" s="99" t="n">
        <x:f>S247*(1+T247)</x:f>
        <x:v>6.8159</x:v>
      </x:c>
      <x:c r="V247" s="99" t="n">
        <x:f>S247</x:f>
        <x:v>6.37</x:v>
      </x:c>
      <x:c r="W247" s="99" t="n">
        <x:f>V247-S247</x:f>
        <x:v>0</x:v>
      </x:c>
      <x:c r="X247" s="114" t="n">
        <x:f>IFERROR(W247/V247,0)</x:f>
        <x:v>0</x:v>
      </x:c>
      <x:c r="Y247" s="38" t="str">
        <x:v>Por unidad</x:v>
      </x:c>
      <x:c r="Z247" s="38" t="str">
        <x:f>IF(Y247="Botella / 3 instalaciones","Precio botella / 3",IF(Y247="Por rollo o metros proporcionales","Si se pasa rollo: rollo completo. Si se pasan metros: proporcional",Y247))</x:f>
        <x:v>Por unidad</x:v>
      </x:c>
      <x:c r="AA247" s="38" t="n">
        <x:v>1</x:v>
      </x:c>
      <x:c r="AB247" s="38" t="str"/>
      <x:c r="AC247" s="38" t="str"/>
      <x:c r="AD247" s="116" t="str">
        <x:v>2026-06-30</x:v>
      </x:c>
      <x:c r="AE247" s="38" t="str">
        <x:v>Sí</x:v>
      </x:c>
      <x:c r="AF247" s="38" t="str">
        <x:v>Revisar categoría antes de usar en cálculo automático.</x:v>
      </x:c>
    </x:row>
    <x:row r="248">
      <x:c r="A248" s="38" t="str">
        <x:v>MAT-0247</x:v>
      </x:c>
      <x:c r="B248" s="38" t="str">
        <x:v>Sí</x:v>
      </x:c>
      <x:c r="C248" s="38" t="str">
        <x:v>Sin clasificar</x:v>
      </x:c>
      <x:c r="D248" s="38" t="str"/>
      <x:c r="E248" s="38" t="str">
        <x:v>Destorn.Plano 4X100 1Kv</x:v>
      </x:c>
      <x:c r="F248" s="38" t="str">
        <x:v>DESTORN.PLANO 4x100 1KV</x:v>
      </x:c>
      <x:c r="G248" s="38" t="str">
        <x:v>ABK-0-65-412 / 19896353</x:v>
      </x:c>
      <x:c r="H248" s="38" t="str">
        <x:v>Comercial Eléctrica Canarias, S.A.</x:v>
      </x:c>
      <x:c r="I248" s="38" t="str">
        <x:v>Factura 92484126</x:v>
      </x:c>
      <x:c r="J248" s="115" t="str">
        <x:v>15/06/2026</x:v>
      </x:c>
      <x:c r="K248" s="38" t="str">
        <x:v>Albarán 302.787/001 (03/06/2026)</x:v>
      </x:c>
      <x:c r="L248" s="38" t="n">
        <x:v>1</x:v>
      </x:c>
      <x:c r="M248" s="38" t="str">
        <x:v>Unidad</x:v>
      </x:c>
      <x:c r="N248" s="38" t="n">
        <x:v>1</x:v>
      </x:c>
      <x:c r="O248" s="38" t="str">
        <x:v>Unidad</x:v>
      </x:c>
      <x:c r="P248" s="99" t="n">
        <x:v>6.68</x:v>
      </x:c>
      <x:c r="Q248" s="114" t="n">
        <x:v>0</x:v>
      </x:c>
      <x:c r="R248" s="99" t="n">
        <x:v>6.68</x:v>
      </x:c>
      <x:c r="S248" s="99" t="n">
        <x:f>IFERROR(R248/L248,P248*(1-Q248))</x:f>
        <x:v>6.68</x:v>
      </x:c>
      <x:c r="T248" s="114" t="n">
        <x:v>0.07</x:v>
      </x:c>
      <x:c r="U248" s="99" t="n">
        <x:f>S248*(1+T248)</x:f>
        <x:v>7.1476</x:v>
      </x:c>
      <x:c r="V248" s="99" t="n">
        <x:f>S248</x:f>
        <x:v>6.68</x:v>
      </x:c>
      <x:c r="W248" s="99" t="n">
        <x:f>V248-S248</x:f>
        <x:v>0</x:v>
      </x:c>
      <x:c r="X248" s="114" t="n">
        <x:f>IFERROR(W248/V248,0)</x:f>
        <x:v>0</x:v>
      </x:c>
      <x:c r="Y248" s="38" t="str">
        <x:v>Por unidad</x:v>
      </x:c>
      <x:c r="Z248" s="38" t="str">
        <x:f>IF(Y248="Botella / 3 instalaciones","Precio botella / 3",IF(Y248="Por rollo o metros proporcionales","Si se pasa rollo: rollo completo. Si se pasan metros: proporcional",Y248))</x:f>
        <x:v>Por unidad</x:v>
      </x:c>
      <x:c r="AA248" s="38" t="n">
        <x:v>1</x:v>
      </x:c>
      <x:c r="AB248" s="38" t="str"/>
      <x:c r="AC248" s="38" t="str"/>
      <x:c r="AD248" s="116" t="str">
        <x:v>2026-06-30</x:v>
      </x:c>
      <x:c r="AE248" s="38" t="str">
        <x:v>Sí</x:v>
      </x:c>
      <x:c r="AF248" s="38" t="str">
        <x:v>Revisar categoría antes de usar en cálculo automático.</x:v>
      </x:c>
    </x:row>
    <x:row r="249">
      <x:c r="A249" s="38" t="str">
        <x:v>MAT-0248</x:v>
      </x:c>
      <x:c r="B249" s="38" t="str">
        <x:v>Sí</x:v>
      </x:c>
      <x:c r="C249" s="38" t="str">
        <x:v>Electricidad</x:v>
      </x:c>
      <x:c r="D249" s="38" t="str">
        <x:v>Protección/cuadro</x:v>
      </x:c>
      <x:c r="E249" s="38" t="str">
        <x:v>Diferencial 4P 40A 30Ma Ac</x:v>
      </x:c>
      <x:c r="F249" s="38" t="str">
        <x:v>DIFERENCIAL 4P 40A 30mA AC</x:v>
      </x:c>
      <x:c r="G249" s="38" t="str">
        <x:v>06240019R0 / 202070</x:v>
      </x:c>
      <x:c r="H249" s="38" t="str">
        <x:v>Comercial Eléctrica Canarias, S.A.</x:v>
      </x:c>
      <x:c r="I249" s="38" t="str">
        <x:v>Factura 92187726</x:v>
      </x:c>
      <x:c r="J249" s="115" t="str">
        <x:v>31/05/2026</x:v>
      </x:c>
      <x:c r="K249" s="38" t="str">
        <x:v>Albarán 132.638/013 (20/05/2026)</x:v>
      </x:c>
      <x:c r="L249" s="38" t="n">
        <x:v>-1</x:v>
      </x:c>
      <x:c r="M249" s="38" t="str">
        <x:v>Unidad</x:v>
      </x:c>
      <x:c r="N249" s="38" t="n">
        <x:v>1</x:v>
      </x:c>
      <x:c r="O249" s="38" t="str">
        <x:v>Unidad</x:v>
      </x:c>
      <x:c r="P249" s="99" t="n">
        <x:v>35.35</x:v>
      </x:c>
      <x:c r="Q249" s="114" t="n">
        <x:v>0</x:v>
      </x:c>
      <x:c r="R249" s="99" t="n">
        <x:v>-35.35</x:v>
      </x:c>
      <x:c r="S249" s="99" t="n">
        <x:f>IFERROR(R249/L249,P249*(1-Q249))</x:f>
        <x:v>35.35</x:v>
      </x:c>
      <x:c r="T249" s="114" t="n">
        <x:v>0.07</x:v>
      </x:c>
      <x:c r="U249" s="99" t="n">
        <x:f>S249*(1+T249)</x:f>
        <x:v>37.8245</x:v>
      </x:c>
      <x:c r="V249" s="99" t="n">
        <x:f>S249</x:f>
        <x:v>35.35</x:v>
      </x:c>
      <x:c r="W249" s="99" t="n">
        <x:f>V249-S249</x:f>
        <x:v>0</x:v>
      </x:c>
      <x:c r="X249" s="114" t="n">
        <x:f>IFERROR(W249/V249,0)</x:f>
        <x:v>0</x:v>
      </x:c>
      <x:c r="Y249" s="38" t="str">
        <x:v>Por unidad</x:v>
      </x:c>
      <x:c r="Z249" s="38" t="str">
        <x:f>IF(Y249="Botella / 3 instalaciones","Precio botella / 3",IF(Y249="Por rollo o metros proporcionales","Si se pasa rollo: rollo completo. Si se pasan metros: proporcional",Y249))</x:f>
        <x:v>Por unidad</x:v>
      </x:c>
      <x:c r="AA249" s="38" t="n">
        <x:v>1</x:v>
      </x:c>
      <x:c r="AB249" s="38" t="str"/>
      <x:c r="AC249" s="38" t="str"/>
      <x:c r="AD249" s="116" t="str">
        <x:v>2026-06-30</x:v>
      </x:c>
      <x:c r="AE249" s="38" t="str">
        <x:v>No</x:v>
      </x:c>
      <x:c r="AF249" s="38" t="str"/>
    </x:row>
    <x:row r="250">
      <x:c r="A250" s="38" t="str">
        <x:v>MAT-0249</x:v>
      </x:c>
      <x:c r="B250" s="38" t="str">
        <x:v>Sí</x:v>
      </x:c>
      <x:c r="C250" s="38" t="str">
        <x:v>Sin clasificar</x:v>
      </x:c>
      <x:c r="D250" s="38" t="str"/>
      <x:c r="E250" s="38" t="str">
        <x:v>Curva Rks Gris Ip40 M25</x:v>
      </x:c>
      <x:c r="F250" s="38" t="str">
        <x:v>CURVA RKS GRIS IP40 M25</x:v>
      </x:c>
      <x:c r="G250" s="38" t="str">
        <x:v>GEW-DX40125 / 9401259</x:v>
      </x:c>
      <x:c r="H250" s="38" t="str">
        <x:v>Comercial Eléctrica Canarias, S.A.</x:v>
      </x:c>
      <x:c r="I250" s="38" t="str">
        <x:v>Factura 92240926</x:v>
      </x:c>
      <x:c r="J250" s="115" t="str">
        <x:v>31/05/2026</x:v>
      </x:c>
      <x:c r="K250" s="38" t="str">
        <x:v>Albarán 110.672/011 (22/05/2026)</x:v>
      </x:c>
      <x:c r="L250" s="38" t="n">
        <x:v>2</x:v>
      </x:c>
      <x:c r="M250" s="38" t="str">
        <x:v>m²</x:v>
      </x:c>
      <x:c r="N250" s="38" t="n">
        <x:v>1</x:v>
      </x:c>
      <x:c r="O250" s="38" t="str">
        <x:v>m²</x:v>
      </x:c>
      <x:c r="P250" s="99" t="n">
        <x:v>0.908</x:v>
      </x:c>
      <x:c r="Q250" s="114" t="n">
        <x:v>0</x:v>
      </x:c>
      <x:c r="R250" s="99" t="n">
        <x:v>1.82</x:v>
      </x:c>
      <x:c r="S250" s="99" t="n">
        <x:f>IFERROR(R250/L250,P250*(1-Q250))</x:f>
        <x:v>0.91</x:v>
      </x:c>
      <x:c r="T250" s="114" t="n">
        <x:v>0.03</x:v>
      </x:c>
      <x:c r="U250" s="99" t="n">
        <x:f>S250*(1+T250)</x:f>
        <x:v>0.9373</x:v>
      </x:c>
      <x:c r="V250" s="99" t="n">
        <x:f>S250</x:f>
        <x:v>0.91</x:v>
      </x:c>
      <x:c r="W250" s="99" t="n">
        <x:f>V250-S250</x:f>
        <x:v>0</x:v>
      </x:c>
      <x:c r="X250" s="114" t="n">
        <x:f>IFERROR(W250/V250,0)</x:f>
        <x:v>0</x:v>
      </x:c>
      <x:c r="Y250" s="38" t="str">
        <x:v>Por unidad</x:v>
      </x:c>
      <x:c r="Z250" s="38" t="str">
        <x:f>IF(Y250="Botella / 3 instalaciones","Precio botella / 3",IF(Y250="Por rollo o metros proporcionales","Si se pasa rollo: rollo completo. Si se pasan metros: proporcional",Y250))</x:f>
        <x:v>Por unidad</x:v>
      </x:c>
      <x:c r="AA250" s="38" t="n">
        <x:v>1</x:v>
      </x:c>
      <x:c r="AB250" s="38" t="str"/>
      <x:c r="AC250" s="38" t="str"/>
      <x:c r="AD250" s="116" t="str">
        <x:v>2026-06-30</x:v>
      </x:c>
      <x:c r="AE250" s="38" t="str">
        <x:v>Sí</x:v>
      </x:c>
      <x:c r="AF250" s="38" t="str">
        <x:v>Revisar categoría antes de usar en cálculo automático.</x:v>
      </x:c>
    </x:row>
    <x:row r="251">
      <x:c r="A251" s="38" t="str">
        <x:v>MAT-0250</x:v>
      </x:c>
      <x:c r="B251" s="38" t="str">
        <x:v>Sí</x:v>
      </x:c>
      <x:c r="C251" s="38" t="str">
        <x:v>Sin clasificar</x:v>
      </x:c>
      <x:c r="D251" s="38" t="str"/>
      <x:c r="E251" s="38" t="str">
        <x:v>Abrazadera M-Quick Gris M20-25</x:v>
      </x:c>
      <x:c r="F251" s="38" t="str">
        <x:v>ABRAZADERA M-QUICK GRIS M20-25</x:v>
      </x:c>
      <x:c r="G251" s="38" t="str">
        <x:v>OBO-2153726 / 4781</x:v>
      </x:c>
      <x:c r="H251" s="38" t="str">
        <x:v>Comercial Eléctrica Canarias, S.A.</x:v>
      </x:c>
      <x:c r="I251" s="38" t="str">
        <x:v>Factura 92240926</x:v>
      </x:c>
      <x:c r="J251" s="115" t="str">
        <x:v>31/05/2026</x:v>
      </x:c>
      <x:c r="K251" s="38" t="str">
        <x:v>Albarán 110.672/011 (22/05/2026)</x:v>
      </x:c>
      <x:c r="L251" s="38" t="n">
        <x:v>6</x:v>
      </x:c>
      <x:c r="M251" s="38" t="str">
        <x:v>m²</x:v>
      </x:c>
      <x:c r="N251" s="38" t="n">
        <x:v>1</x:v>
      </x:c>
      <x:c r="O251" s="38" t="str">
        <x:v>m²</x:v>
      </x:c>
      <x:c r="P251" s="99" t="n">
        <x:v>0.417</x:v>
      </x:c>
      <x:c r="Q251" s="114" t="n">
        <x:v>0</x:v>
      </x:c>
      <x:c r="R251" s="99" t="n">
        <x:v>2.5</x:v>
      </x:c>
      <x:c r="S251" s="99" t="n">
        <x:f>IFERROR(R251/L251,P251*(1-Q251))</x:f>
        <x:v>0.4166666666666667</x:v>
      </x:c>
      <x:c r="T251" s="114" t="n">
        <x:v>0.03</x:v>
      </x:c>
      <x:c r="U251" s="99" t="n">
        <x:f>S251*(1+T251)</x:f>
        <x:v>0.4291666666666667</x:v>
      </x:c>
      <x:c r="V251" s="99" t="n">
        <x:f>S251</x:f>
        <x:v>0.4166666666666667</x:v>
      </x:c>
      <x:c r="W251" s="99" t="n">
        <x:f>V251-S251</x:f>
        <x:v>0</x:v>
      </x:c>
      <x:c r="X251" s="114" t="n">
        <x:f>IFERROR(W251/V251,0)</x:f>
        <x:v>0</x:v>
      </x:c>
      <x:c r="Y251" s="38" t="str">
        <x:v>Por unidad</x:v>
      </x:c>
      <x:c r="Z251" s="38" t="str">
        <x:f>IF(Y251="Botella / 3 instalaciones","Precio botella / 3",IF(Y251="Por rollo o metros proporcionales","Si se pasa rollo: rollo completo. Si se pasan metros: proporcional",Y251))</x:f>
        <x:v>Por unidad</x:v>
      </x:c>
      <x:c r="AA251" s="38" t="n">
        <x:v>1</x:v>
      </x:c>
      <x:c r="AB251" s="38" t="str"/>
      <x:c r="AC251" s="38" t="str"/>
      <x:c r="AD251" s="116" t="str">
        <x:v>2026-06-30</x:v>
      </x:c>
      <x:c r="AE251" s="38" t="str">
        <x:v>Sí</x:v>
      </x:c>
      <x:c r="AF251" s="38" t="str">
        <x:v>Revisar categoría antes de usar en cálculo automático.</x:v>
      </x:c>
    </x:row>
    <x:row r="252">
      <x:c r="A252" s="38" t="str">
        <x:v>MAT-0251</x:v>
      </x:c>
      <x:c r="B252" s="38" t="str">
        <x:v>Sí</x:v>
      </x:c>
      <x:c r="C252" s="38" t="str">
        <x:v>Electricidad</x:v>
      </x:c>
      <x:c r="D252" s="38" t="str">
        <x:v>Cable eléctrico</x:v>
      </x:c>
      <x:c r="E252" s="38" t="str">
        <x:v>Cable Rz1-K Cpr 3G2.5 Rollo</x:v>
      </x:c>
      <x:c r="F252" s="38" t="str">
        <x:v>CABLE RZ1-K CPR 3G2.5 ROLLO</x:v>
      </x:c>
      <x:c r="G252" s="38" t="str">
        <x:v>CABLE / 5551477</x:v>
      </x:c>
      <x:c r="H252" s="38" t="str">
        <x:v>Comercial Eléctrica Canarias, S.A.</x:v>
      </x:c>
      <x:c r="I252" s="38" t="str">
        <x:v>Factura 92240926</x:v>
      </x:c>
      <x:c r="J252" s="115" t="str">
        <x:v>31/05/2026</x:v>
      </x:c>
      <x:c r="K252" s="38" t="str">
        <x:v>Albarán 110.672/011 (22/05/2026)</x:v>
      </x:c>
      <x:c r="L252" s="38" t="n">
        <x:v>40</x:v>
      </x:c>
      <x:c r="M252" s="38" t="str">
        <x:v>Unidad</x:v>
      </x:c>
      <x:c r="N252" s="38" t="n">
        <x:v>1</x:v>
      </x:c>
      <x:c r="O252" s="38" t="str">
        <x:v>Unidad</x:v>
      </x:c>
      <x:c r="P252" s="99" t="n">
        <x:v>1.476</x:v>
      </x:c>
      <x:c r="Q252" s="114" t="n">
        <x:v>0</x:v>
      </x:c>
      <x:c r="R252" s="99" t="n">
        <x:v>59.04</x:v>
      </x:c>
      <x:c r="S252" s="99" t="n">
        <x:f>IFERROR(R252/L252,P252*(1-Q252))</x:f>
        <x:v>1.476</x:v>
      </x:c>
      <x:c r="T252" s="114" t="n">
        <x:v>0.07</x:v>
      </x:c>
      <x:c r="U252" s="99" t="n">
        <x:f>S252*(1+T252)</x:f>
        <x:v>1.57932</x:v>
      </x:c>
      <x:c r="V252" s="99" t="n">
        <x:f>S252</x:f>
        <x:v>1.476</x:v>
      </x:c>
      <x:c r="W252" s="99" t="n">
        <x:f>V252-S252</x:f>
        <x:v>0</x:v>
      </x:c>
      <x:c r="X252" s="114" t="n">
        <x:f>IFERROR(W252/V252,0)</x:f>
        <x:v>0</x:v>
      </x:c>
      <x:c r="Y252" s="38" t="str">
        <x:v>Por unidad</x:v>
      </x:c>
      <x:c r="Z252" s="38" t="str">
        <x:f>IF(Y252="Botella / 3 instalaciones","Precio botella / 3",IF(Y252="Por rollo o metros proporcionales","Si se pasa rollo: rollo completo. Si se pasan metros: proporcional",Y252))</x:f>
        <x:v>Por unidad</x:v>
      </x:c>
      <x:c r="AA252" s="38" t="n">
        <x:v>1</x:v>
      </x:c>
      <x:c r="AB252" s="38" t="str"/>
      <x:c r="AC252" s="38" t="str"/>
      <x:c r="AD252" s="116" t="str">
        <x:v>2026-06-30</x:v>
      </x:c>
      <x:c r="AE252" s="38" t="str">
        <x:v>No</x:v>
      </x:c>
      <x:c r="AF252" s="38" t="str"/>
    </x:row>
    <x:row r="253">
      <x:c r="A253" s="38" t="str">
        <x:v>MAT-0252</x:v>
      </x:c>
      <x:c r="B253" s="38" t="str">
        <x:v>Sí</x:v>
      </x:c>
      <x:c r="C253" s="38" t="str">
        <x:v>Sin clasificar</x:v>
      </x:c>
      <x:c r="D253" s="38" t="str"/>
      <x:c r="E253" s="38" t="str">
        <x:v>Base 6T 3Mt.C/Inter.Eco</x:v>
      </x:c>
      <x:c r="F253" s="38" t="str">
        <x:v>BASE 6T 3Mt.C/INTER.ECO</x:v>
      </x:c>
      <x:c r="G253" s="38" t="str">
        <x:v>FAM-9/806 / 698060</x:v>
      </x:c>
      <x:c r="H253" s="38" t="str">
        <x:v>Comercial Eléctrica Canarias, S.A.</x:v>
      </x:c>
      <x:c r="I253" s="38" t="str">
        <x:v>Factura 92240926</x:v>
      </x:c>
      <x:c r="J253" s="115" t="str">
        <x:v>31/05/2026</x:v>
      </x:c>
      <x:c r="K253" s="38" t="str">
        <x:v>Albarán 132.592/013 (19/05/2026)</x:v>
      </x:c>
      <x:c r="L253" s="38" t="n">
        <x:v>1</x:v>
      </x:c>
      <x:c r="M253" s="38" t="str">
        <x:v>Unidad</x:v>
      </x:c>
      <x:c r="N253" s="38" t="n">
        <x:v>1</x:v>
      </x:c>
      <x:c r="O253" s="38" t="str">
        <x:v>Unidad</x:v>
      </x:c>
      <x:c r="P253" s="99" t="n">
        <x:v>10.971</x:v>
      </x:c>
      <x:c r="Q253" s="114" t="n">
        <x:v>0.05</x:v>
      </x:c>
      <x:c r="R253" s="99" t="n">
        <x:v>10.42</x:v>
      </x:c>
      <x:c r="S253" s="99" t="n">
        <x:f>IFERROR(R253/L253,P253*(1-Q253))</x:f>
        <x:v>10.42</x:v>
      </x:c>
      <x:c r="T253" s="114" t="n">
        <x:v>0.07</x:v>
      </x:c>
      <x:c r="U253" s="99" t="n">
        <x:f>S253*(1+T253)</x:f>
        <x:v>11.1494</x:v>
      </x:c>
      <x:c r="V253" s="99" t="n">
        <x:f>S253</x:f>
        <x:v>10.42</x:v>
      </x:c>
      <x:c r="W253" s="99" t="n">
        <x:f>V253-S253</x:f>
        <x:v>0</x:v>
      </x:c>
      <x:c r="X253" s="114" t="n">
        <x:f>IFERROR(W253/V253,0)</x:f>
        <x:v>0</x:v>
      </x:c>
      <x:c r="Y253" s="38" t="str">
        <x:v>Por unidad</x:v>
      </x:c>
      <x:c r="Z253" s="38" t="str">
        <x:f>IF(Y253="Botella / 3 instalaciones","Precio botella / 3",IF(Y253="Por rollo o metros proporcionales","Si se pasa rollo: rollo completo. Si se pasan metros: proporcional",Y253))</x:f>
        <x:v>Por unidad</x:v>
      </x:c>
      <x:c r="AA253" s="38" t="n">
        <x:v>1</x:v>
      </x:c>
      <x:c r="AB253" s="38" t="str"/>
      <x:c r="AC253" s="38" t="str"/>
      <x:c r="AD253" s="116" t="str">
        <x:v>2026-06-30</x:v>
      </x:c>
      <x:c r="AE253" s="38" t="str">
        <x:v>Sí</x:v>
      </x:c>
      <x:c r="AF253" s="38" t="str">
        <x:v>Revisar categoría antes de usar en cálculo automático.</x:v>
      </x:c>
    </x:row>
    <x:row r="254">
      <x:c r="A254" s="38" t="str">
        <x:v>MAT-0253</x:v>
      </x:c>
      <x:c r="B254" s="38" t="str">
        <x:v>Sí</x:v>
      </x:c>
      <x:c r="C254" s="38" t="str">
        <x:v>Sin clasificar</x:v>
      </x:c>
      <x:c r="D254" s="38" t="str"/>
      <x:c r="E254" s="38" t="str">
        <x:v>Base 5T.1.5Mt C/Interr.Blanco</x:v>
      </x:c>
      <x:c r="F254" s="38" t="str">
        <x:v>BASE 5T.1.5Mt C/INTERR.BLANCO</x:v>
      </x:c>
      <x:c r="G254" s="38" t="str">
        <x:v>GUI-WLTA0451-2WH / 704512</x:v>
      </x:c>
      <x:c r="H254" s="38" t="str">
        <x:v>Comercial Eléctrica Canarias, S.A.</x:v>
      </x:c>
      <x:c r="I254" s="38" t="str">
        <x:v>Factura 92240926</x:v>
      </x:c>
      <x:c r="J254" s="115" t="str">
        <x:v>31/05/2026</x:v>
      </x:c>
      <x:c r="K254" s="38" t="str">
        <x:v>Albarán 132.592/013 (19/05/2026)</x:v>
      </x:c>
      <x:c r="L254" s="38" t="n">
        <x:v>1</x:v>
      </x:c>
      <x:c r="M254" s="38" t="str">
        <x:v>Unidad</x:v>
      </x:c>
      <x:c r="N254" s="38" t="n">
        <x:v>1</x:v>
      </x:c>
      <x:c r="O254" s="38" t="str">
        <x:v>Unidad</x:v>
      </x:c>
      <x:c r="P254" s="99" t="n">
        <x:v>11.312</x:v>
      </x:c>
      <x:c r="Q254" s="114" t="n">
        <x:v>0.05</x:v>
      </x:c>
      <x:c r="R254" s="99" t="n">
        <x:v>10.75</x:v>
      </x:c>
      <x:c r="S254" s="99" t="n">
        <x:f>IFERROR(R254/L254,P254*(1-Q254))</x:f>
        <x:v>10.75</x:v>
      </x:c>
      <x:c r="T254" s="114" t="n">
        <x:v>0.07</x:v>
      </x:c>
      <x:c r="U254" s="99" t="n">
        <x:f>S254*(1+T254)</x:f>
        <x:v>11.502500000000001</x:v>
      </x:c>
      <x:c r="V254" s="99" t="n">
        <x:f>S254</x:f>
        <x:v>10.75</x:v>
      </x:c>
      <x:c r="W254" s="99" t="n">
        <x:f>V254-S254</x:f>
        <x:v>0</x:v>
      </x:c>
      <x:c r="X254" s="114" t="n">
        <x:f>IFERROR(W254/V254,0)</x:f>
        <x:v>0</x:v>
      </x:c>
      <x:c r="Y254" s="38" t="str">
        <x:v>Por unidad</x:v>
      </x:c>
      <x:c r="Z254" s="38" t="str">
        <x:f>IF(Y254="Botella / 3 instalaciones","Precio botella / 3",IF(Y254="Por rollo o metros proporcionales","Si se pasa rollo: rollo completo. Si se pasan metros: proporcional",Y254))</x:f>
        <x:v>Por unidad</x:v>
      </x:c>
      <x:c r="AA254" s="38" t="n">
        <x:v>1</x:v>
      </x:c>
      <x:c r="AB254" s="38" t="str"/>
      <x:c r="AC254" s="38" t="str"/>
      <x:c r="AD254" s="116" t="str">
        <x:v>2026-06-30</x:v>
      </x:c>
      <x:c r="AE254" s="38" t="str">
        <x:v>Sí</x:v>
      </x:c>
      <x:c r="AF254" s="38" t="str">
        <x:v>Revisar categoría antes de usar en cálculo automático.</x:v>
      </x:c>
    </x:row>
    <x:row r="255">
      <x:c r="A255" s="38" t="str">
        <x:v>MAT-0254</x:v>
      </x:c>
      <x:c r="B255" s="38" t="str">
        <x:v>Sí</x:v>
      </x:c>
      <x:c r="C255" s="38" t="str">
        <x:v>Sin clasificar</x:v>
      </x:c>
      <x:c r="D255" s="38" t="str"/>
      <x:c r="E255" s="38" t="str">
        <x:v>Downl 18W Ip20/52 2750Lm Cct</x:v>
      </x:c>
      <x:c r="F255" s="38" t="str">
        <x:v>DOWNL 18W IP20/52 2750LM CCT</x:v>
      </x:c>
      <x:c r="G255" s="38" t="str">
        <x:v>GON-PO2XB / 541054</x:v>
      </x:c>
      <x:c r="H255" s="38" t="str">
        <x:v>Comercial Eléctrica Canarias, S.A.</x:v>
      </x:c>
      <x:c r="I255" s="38" t="str">
        <x:v>Factura 92240926</x:v>
      </x:c>
      <x:c r="J255" s="115" t="str">
        <x:v>31/05/2026</x:v>
      </x:c>
      <x:c r="K255" s="38" t="str">
        <x:v>Albarán 132.593/013 (19/05/2026)</x:v>
      </x:c>
      <x:c r="L255" s="38" t="n">
        <x:v>1</x:v>
      </x:c>
      <x:c r="M255" s="38" t="str">
        <x:v>Unidad</x:v>
      </x:c>
      <x:c r="N255" s="38" t="n">
        <x:v>1</x:v>
      </x:c>
      <x:c r="O255" s="38" t="str">
        <x:v>Unidad</x:v>
      </x:c>
      <x:c r="P255" s="99" t="n">
        <x:v>19.55</x:v>
      </x:c>
      <x:c r="Q255" s="114" t="n">
        <x:v>0</x:v>
      </x:c>
      <x:c r="R255" s="99" t="n">
        <x:v>19.55</x:v>
      </x:c>
      <x:c r="S255" s="99" t="n">
        <x:f>IFERROR(R255/L255,P255*(1-Q255))</x:f>
        <x:v>19.55</x:v>
      </x:c>
      <x:c r="T255" s="114" t="n">
        <x:v>0.07</x:v>
      </x:c>
      <x:c r="U255" s="99" t="n">
        <x:f>S255*(1+T255)</x:f>
        <x:v>20.9185</x:v>
      </x:c>
      <x:c r="V255" s="99" t="n">
        <x:f>S255</x:f>
        <x:v>19.55</x:v>
      </x:c>
      <x:c r="W255" s="99" t="n">
        <x:f>V255-S255</x:f>
        <x:v>0</x:v>
      </x:c>
      <x:c r="X255" s="114" t="n">
        <x:f>IFERROR(W255/V255,0)</x:f>
        <x:v>0</x:v>
      </x:c>
      <x:c r="Y255" s="38" t="str">
        <x:v>Por unidad</x:v>
      </x:c>
      <x:c r="Z255" s="38" t="str">
        <x:f>IF(Y255="Botella / 3 instalaciones","Precio botella / 3",IF(Y255="Por rollo o metros proporcionales","Si se pasa rollo: rollo completo. Si se pasan metros: proporcional",Y255))</x:f>
        <x:v>Por unidad</x:v>
      </x:c>
      <x:c r="AA255" s="38" t="n">
        <x:v>1</x:v>
      </x:c>
      <x:c r="AB255" s="38" t="str"/>
      <x:c r="AC255" s="38" t="str"/>
      <x:c r="AD255" s="116" t="str">
        <x:v>2026-06-30</x:v>
      </x:c>
      <x:c r="AE255" s="38" t="str">
        <x:v>Sí</x:v>
      </x:c>
      <x:c r="AF255" s="38" t="str">
        <x:v>Revisar categoría antes de usar en cálculo automático.</x:v>
      </x:c>
    </x:row>
    <x:row r="256">
      <x:c r="A256" s="38" t="str">
        <x:v>MAT-0255</x:v>
      </x:c>
      <x:c r="B256" s="38" t="str">
        <x:v>Sí</x:v>
      </x:c>
      <x:c r="C256" s="38" t="str">
        <x:v>Electricidad</x:v>
      </x:c>
      <x:c r="D256" s="38" t="str">
        <x:v>Protección/cuadro</x:v>
      </x:c>
      <x:c r="E256" s="38" t="str">
        <x:v>Contactor Mod 4P 25A 4No 230V</x:v>
      </x:c>
      <x:c r="F256" s="38" t="str">
        <x:v>CONTACTOR MOD 4P 25A 4NO 230V</x:v>
      </x:c>
      <x:c r="G256" s="38" t="str">
        <x:v>CM142540230 / 202092</x:v>
      </x:c>
      <x:c r="H256" s="38" t="str">
        <x:v>Comercial Eléctrica Canarias, S.A.</x:v>
      </x:c>
      <x:c r="I256" s="38" t="str">
        <x:v>Factura 92240926</x:v>
      </x:c>
      <x:c r="J256" s="115" t="str">
        <x:v>31/05/2026</x:v>
      </x:c>
      <x:c r="K256" s="38" t="str">
        <x:v>Albarán 132.627/013 (20/05/2026)</x:v>
      </x:c>
      <x:c r="L256" s="38" t="n">
        <x:v>1</x:v>
      </x:c>
      <x:c r="M256" s="38" t="str">
        <x:v>Unidad</x:v>
      </x:c>
      <x:c r="N256" s="38" t="n">
        <x:v>1</x:v>
      </x:c>
      <x:c r="O256" s="38" t="str">
        <x:v>Unidad</x:v>
      </x:c>
      <x:c r="P256" s="99" t="n">
        <x:v>30.44</x:v>
      </x:c>
      <x:c r="Q256" s="114" t="n">
        <x:v>0</x:v>
      </x:c>
      <x:c r="R256" s="99" t="n">
        <x:v>30.44</x:v>
      </x:c>
      <x:c r="S256" s="99" t="n">
        <x:f>IFERROR(R256/L256,P256*(1-Q256))</x:f>
        <x:v>30.44</x:v>
      </x:c>
      <x:c r="T256" s="114" t="n">
        <x:v>0.07</x:v>
      </x:c>
      <x:c r="U256" s="99" t="n">
        <x:f>S256*(1+T256)</x:f>
        <x:v>32.570800000000006</x:v>
      </x:c>
      <x:c r="V256" s="99" t="n">
        <x:f>S256</x:f>
        <x:v>30.44</x:v>
      </x:c>
      <x:c r="W256" s="99" t="n">
        <x:f>V256-S256</x:f>
        <x:v>0</x:v>
      </x:c>
      <x:c r="X256" s="114" t="n">
        <x:f>IFERROR(W256/V256,0)</x:f>
        <x:v>0</x:v>
      </x:c>
      <x:c r="Y256" s="38" t="str">
        <x:v>Por unidad</x:v>
      </x:c>
      <x:c r="Z256" s="38" t="str">
        <x:f>IF(Y256="Botella / 3 instalaciones","Precio botella / 3",IF(Y256="Por rollo o metros proporcionales","Si se pasa rollo: rollo completo. Si se pasan metros: proporcional",Y256))</x:f>
        <x:v>Por unidad</x:v>
      </x:c>
      <x:c r="AA256" s="38" t="n">
        <x:v>1</x:v>
      </x:c>
      <x:c r="AB256" s="38" t="str"/>
      <x:c r="AC256" s="38" t="str"/>
      <x:c r="AD256" s="116" t="str">
        <x:v>2026-06-30</x:v>
      </x:c>
      <x:c r="AE256" s="38" t="str">
        <x:v>No</x:v>
      </x:c>
      <x:c r="AF256" s="38" t="str"/>
    </x:row>
    <x:row r="257">
      <x:c r="A257" s="38" t="str">
        <x:v>MAT-0256</x:v>
      </x:c>
      <x:c r="B257" s="38" t="str">
        <x:v>Sí</x:v>
      </x:c>
      <x:c r="C257" s="38" t="str">
        <x:v>Sin clasificar</x:v>
      </x:c>
      <x:c r="D257" s="38" t="str"/>
      <x:c r="E257" s="38" t="str">
        <x:v>Linterna Recarg+Solar+Roj.10W</x:v>
      </x:c>
      <x:c r="F257" s="38" t="str">
        <x:v>LINTERNA RECARG+SOLAR+ROJ.10W</x:v>
      </x:c>
      <x:c r="G257" s="38" t="str">
        <x:v>ELK-36126 / 2336126</x:v>
      </x:c>
      <x:c r="H257" s="38" t="str">
        <x:v>Comercial Eléctrica Canarias, S.A.</x:v>
      </x:c>
      <x:c r="I257" s="38" t="str">
        <x:v>Factura 92240926</x:v>
      </x:c>
      <x:c r="J257" s="115" t="str">
        <x:v>31/05/2026</x:v>
      </x:c>
      <x:c r="K257" s="38" t="str">
        <x:v>Albarán 132.627/013 (20/05/2026)</x:v>
      </x:c>
      <x:c r="L257" s="38" t="n">
        <x:v>1</x:v>
      </x:c>
      <x:c r="M257" s="38" t="str">
        <x:v>Unidad</x:v>
      </x:c>
      <x:c r="N257" s="38" t="n">
        <x:v>1</x:v>
      </x:c>
      <x:c r="O257" s="38" t="str">
        <x:v>Unidad</x:v>
      </x:c>
      <x:c r="P257" s="99" t="n">
        <x:v>14</x:v>
      </x:c>
      <x:c r="Q257" s="114" t="n">
        <x:v>0</x:v>
      </x:c>
      <x:c r="R257" s="99" t="n">
        <x:v>14.12</x:v>
      </x:c>
      <x:c r="S257" s="99" t="n">
        <x:f>IFERROR(R257/L257,P257*(1-Q257))</x:f>
        <x:v>14.12</x:v>
      </x:c>
      <x:c r="T257" s="114" t="n">
        <x:v>0.07</x:v>
      </x:c>
      <x:c r="U257" s="99" t="n">
        <x:f>S257*(1+T257)</x:f>
        <x:v>15.1084</x:v>
      </x:c>
      <x:c r="V257" s="99" t="n">
        <x:f>S257</x:f>
        <x:v>14.12</x:v>
      </x:c>
      <x:c r="W257" s="99" t="n">
        <x:f>V257-S257</x:f>
        <x:v>0</x:v>
      </x:c>
      <x:c r="X257" s="114" t="n">
        <x:f>IFERROR(W257/V257,0)</x:f>
        <x:v>0</x:v>
      </x:c>
      <x:c r="Y257" s="38" t="str">
        <x:v>Por unidad</x:v>
      </x:c>
      <x:c r="Z257" s="38" t="str">
        <x:f>IF(Y257="Botella / 3 instalaciones","Precio botella / 3",IF(Y257="Por rollo o metros proporcionales","Si se pasa rollo: rollo completo. Si se pasan metros: proporcional",Y257))</x:f>
        <x:v>Por unidad</x:v>
      </x:c>
      <x:c r="AA257" s="38" t="n">
        <x:v>1</x:v>
      </x:c>
      <x:c r="AB257" s="38" t="str"/>
      <x:c r="AC257" s="38" t="str"/>
      <x:c r="AD257" s="116" t="str">
        <x:v>2026-06-30</x:v>
      </x:c>
      <x:c r="AE257" s="38" t="str">
        <x:v>Sí</x:v>
      </x:c>
      <x:c r="AF257" s="38" t="str">
        <x:v>Revisar categoría antes de usar en cálculo automático.</x:v>
      </x:c>
    </x:row>
    <x:row r="258">
      <x:c r="A258" s="38" t="str">
        <x:v>MAT-0257</x:v>
      </x:c>
      <x:c r="B258" s="38" t="str">
        <x:v>Sí</x:v>
      </x:c>
      <x:c r="C258" s="38" t="str">
        <x:v>Electricidad</x:v>
      </x:c>
      <x:c r="D258" s="38" t="str">
        <x:v>Cable eléctrico</x:v>
      </x:c>
      <x:c r="E258" s="38" t="str">
        <x:v>Cable H07Z1-K Cpr 1X2.5 Negro</x:v>
      </x:c>
      <x:c r="F258" s="38" t="str">
        <x:v>CABLE H07Z1-K CPR 1X2.5 NEGRO</x:v>
      </x:c>
      <x:c r="G258" s="38" t="str">
        <x:v>CABLE / 555162</x:v>
      </x:c>
      <x:c r="H258" s="38" t="str">
        <x:v>Comercial Eléctrica Canarias, S.A.</x:v>
      </x:c>
      <x:c r="I258" s="38" t="str">
        <x:v>Factura 92240926</x:v>
      </x:c>
      <x:c r="J258" s="115" t="str">
        <x:v>31/05/2026</x:v>
      </x:c>
      <x:c r="K258" s="38" t="str">
        <x:v>Albarán 132.633/013 (20/05/2026)</x:v>
      </x:c>
      <x:c r="L258" s="38" t="n">
        <x:v>10</x:v>
      </x:c>
      <x:c r="M258" s="38" t="str">
        <x:v>Metro</x:v>
      </x:c>
      <x:c r="N258" s="38" t="n">
        <x:v>1</x:v>
      </x:c>
      <x:c r="O258" s="38" t="str">
        <x:v>Metro</x:v>
      </x:c>
      <x:c r="P258" s="99" t="n">
        <x:v>0.412</x:v>
      </x:c>
      <x:c r="Q258" s="114" t="n">
        <x:v>0</x:v>
      </x:c>
      <x:c r="R258" s="99" t="n">
        <x:v>4.12</x:v>
      </x:c>
      <x:c r="S258" s="99" t="n">
        <x:f>IFERROR(R258/L258,P258*(1-Q258))</x:f>
        <x:v>0.41200000000000003</x:v>
      </x:c>
      <x:c r="T258" s="114" t="n">
        <x:v>0.07</x:v>
      </x:c>
      <x:c r="U258" s="99" t="n">
        <x:f>S258*(1+T258)</x:f>
        <x:v>0.44084000000000007</x:v>
      </x:c>
      <x:c r="V258" s="99" t="n">
        <x:f>S258</x:f>
        <x:v>0.41200000000000003</x:v>
      </x:c>
      <x:c r="W258" s="99" t="n">
        <x:f>V258-S258</x:f>
        <x:v>0</x:v>
      </x:c>
      <x:c r="X258" s="114" t="n">
        <x:f>IFERROR(W258/V258,0)</x:f>
        <x:v>0</x:v>
      </x:c>
      <x:c r="Y258" s="38" t="str">
        <x:v>Por metros</x:v>
      </x:c>
      <x:c r="Z258" s="38" t="str">
        <x:f>IF(Y258="Botella / 3 instalaciones","Precio botella / 3",IF(Y258="Por rollo o metros proporcionales","Si se pasa rollo: rollo completo. Si se pasan metros: proporcional",Y258))</x:f>
        <x:v>Por metros</x:v>
      </x:c>
      <x:c r="AA258" s="38" t="n">
        <x:v>1</x:v>
      </x:c>
      <x:c r="AB258" s="38" t="str"/>
      <x:c r="AC258" s="38" t="str"/>
      <x:c r="AD258" s="116" t="str">
        <x:v>2026-06-30</x:v>
      </x:c>
      <x:c r="AE258" s="38" t="str">
        <x:v>No</x:v>
      </x:c>
      <x:c r="AF258" s="38" t="str"/>
    </x:row>
    <x:row r="259">
      <x:c r="A259" s="38" t="str">
        <x:v>MAT-0258</x:v>
      </x:c>
      <x:c r="B259" s="38" t="str">
        <x:v>Sí</x:v>
      </x:c>
      <x:c r="C259" s="38" t="str">
        <x:v>Electricidad</x:v>
      </x:c>
      <x:c r="D259" s="38" t="str">
        <x:v>Cable eléctrico</x:v>
      </x:c>
      <x:c r="E259" s="38" t="str">
        <x:v>Cable H07Z1-K Cpr 1X2.5 Marron</x:v>
      </x:c>
      <x:c r="F259" s="38" t="str">
        <x:v>CABLE H07Z1-K CPR 1X2.5 MARRON</x:v>
      </x:c>
      <x:c r="G259" s="38" t="str">
        <x:v>CABLE / 555163</x:v>
      </x:c>
      <x:c r="H259" s="38" t="str">
        <x:v>Comercial Eléctrica Canarias, S.A.</x:v>
      </x:c>
      <x:c r="I259" s="38" t="str">
        <x:v>Factura 92240926</x:v>
      </x:c>
      <x:c r="J259" s="115" t="str">
        <x:v>31/05/2026</x:v>
      </x:c>
      <x:c r="K259" s="38" t="str">
        <x:v>Albarán 132.633/013 (20/05/2026)</x:v>
      </x:c>
      <x:c r="L259" s="38" t="n">
        <x:v>10</x:v>
      </x:c>
      <x:c r="M259" s="38" t="str">
        <x:v>Metro</x:v>
      </x:c>
      <x:c r="N259" s="38" t="n">
        <x:v>1</x:v>
      </x:c>
      <x:c r="O259" s="38" t="str">
        <x:v>Metro</x:v>
      </x:c>
      <x:c r="P259" s="99" t="n">
        <x:v>0.412</x:v>
      </x:c>
      <x:c r="Q259" s="114" t="n">
        <x:v>0</x:v>
      </x:c>
      <x:c r="R259" s="99" t="n">
        <x:v>4.12</x:v>
      </x:c>
      <x:c r="S259" s="99" t="n">
        <x:f>IFERROR(R259/L259,P259*(1-Q259))</x:f>
        <x:v>0.41200000000000003</x:v>
      </x:c>
      <x:c r="T259" s="114" t="n">
        <x:v>0.07</x:v>
      </x:c>
      <x:c r="U259" s="99" t="n">
        <x:f>S259*(1+T259)</x:f>
        <x:v>0.44084000000000007</x:v>
      </x:c>
      <x:c r="V259" s="99" t="n">
        <x:f>S259</x:f>
        <x:v>0.41200000000000003</x:v>
      </x:c>
      <x:c r="W259" s="99" t="n">
        <x:f>V259-S259</x:f>
        <x:v>0</x:v>
      </x:c>
      <x:c r="X259" s="114" t="n">
        <x:f>IFERROR(W259/V259,0)</x:f>
        <x:v>0</x:v>
      </x:c>
      <x:c r="Y259" s="38" t="str">
        <x:v>Por metros</x:v>
      </x:c>
      <x:c r="Z259" s="38" t="str">
        <x:f>IF(Y259="Botella / 3 instalaciones","Precio botella / 3",IF(Y259="Por rollo o metros proporcionales","Si se pasa rollo: rollo completo. Si se pasan metros: proporcional",Y259))</x:f>
        <x:v>Por metros</x:v>
      </x:c>
      <x:c r="AA259" s="38" t="n">
        <x:v>1</x:v>
      </x:c>
      <x:c r="AB259" s="38" t="str"/>
      <x:c r="AC259" s="38" t="str"/>
      <x:c r="AD259" s="116" t="str">
        <x:v>2026-06-30</x:v>
      </x:c>
      <x:c r="AE259" s="38" t="str">
        <x:v>No</x:v>
      </x:c>
      <x:c r="AF259" s="38" t="str"/>
    </x:row>
    <x:row r="260">
      <x:c r="A260" s="38" t="str">
        <x:v>MAT-0259</x:v>
      </x:c>
      <x:c r="B260" s="38" t="str">
        <x:v>Sí</x:v>
      </x:c>
      <x:c r="C260" s="38" t="str">
        <x:v>Electricidad</x:v>
      </x:c>
      <x:c r="D260" s="38" t="str">
        <x:v>Cable eléctrico</x:v>
      </x:c>
      <x:c r="E260" s="38" t="str">
        <x:v>Cable H07Z1-K Cpr 1X2.5 Gris</x:v>
      </x:c>
      <x:c r="F260" s="38" t="str">
        <x:v>CABLE H07Z1-K CPR 1X2.5 GRIS</x:v>
      </x:c>
      <x:c r="G260" s="38" t="str">
        <x:v>CABLE / 555164</x:v>
      </x:c>
      <x:c r="H260" s="38" t="str">
        <x:v>Comercial Eléctrica Canarias, S.A.</x:v>
      </x:c>
      <x:c r="I260" s="38" t="str">
        <x:v>Factura 92240926</x:v>
      </x:c>
      <x:c r="J260" s="115" t="str">
        <x:v>31/05/2026</x:v>
      </x:c>
      <x:c r="K260" s="38" t="str">
        <x:v>Albarán 132.633/013 (20/05/2026)</x:v>
      </x:c>
      <x:c r="L260" s="38" t="n">
        <x:v>10</x:v>
      </x:c>
      <x:c r="M260" s="38" t="str">
        <x:v>Metro</x:v>
      </x:c>
      <x:c r="N260" s="38" t="n">
        <x:v>1</x:v>
      </x:c>
      <x:c r="O260" s="38" t="str">
        <x:v>Metro</x:v>
      </x:c>
      <x:c r="P260" s="99" t="n">
        <x:v>0.412</x:v>
      </x:c>
      <x:c r="Q260" s="114" t="n">
        <x:v>0</x:v>
      </x:c>
      <x:c r="R260" s="99" t="n">
        <x:v>4.12</x:v>
      </x:c>
      <x:c r="S260" s="99" t="n">
        <x:f>IFERROR(R260/L260,P260*(1-Q260))</x:f>
        <x:v>0.41200000000000003</x:v>
      </x:c>
      <x:c r="T260" s="114" t="n">
        <x:v>0.07</x:v>
      </x:c>
      <x:c r="U260" s="99" t="n">
        <x:f>S260*(1+T260)</x:f>
        <x:v>0.44084000000000007</x:v>
      </x:c>
      <x:c r="V260" s="99" t="n">
        <x:f>S260</x:f>
        <x:v>0.41200000000000003</x:v>
      </x:c>
      <x:c r="W260" s="99" t="n">
        <x:f>V260-S260</x:f>
        <x:v>0</x:v>
      </x:c>
      <x:c r="X260" s="114" t="n">
        <x:f>IFERROR(W260/V260,0)</x:f>
        <x:v>0</x:v>
      </x:c>
      <x:c r="Y260" s="38" t="str">
        <x:v>Por metros</x:v>
      </x:c>
      <x:c r="Z260" s="38" t="str">
        <x:f>IF(Y260="Botella / 3 instalaciones","Precio botella / 3",IF(Y260="Por rollo o metros proporcionales","Si se pasa rollo: rollo completo. Si se pasan metros: proporcional",Y260))</x:f>
        <x:v>Por metros</x:v>
      </x:c>
      <x:c r="AA260" s="38" t="n">
        <x:v>1</x:v>
      </x:c>
      <x:c r="AB260" s="38" t="str"/>
      <x:c r="AC260" s="38" t="str"/>
      <x:c r="AD260" s="116" t="str">
        <x:v>2026-06-30</x:v>
      </x:c>
      <x:c r="AE260" s="38" t="str">
        <x:v>No</x:v>
      </x:c>
      <x:c r="AF260" s="38" t="str"/>
    </x:row>
    <x:row r="261">
      <x:c r="A261" s="38" t="str">
        <x:v>MAT-0260</x:v>
      </x:c>
      <x:c r="B261" s="38" t="str">
        <x:v>Sí</x:v>
      </x:c>
      <x:c r="C261" s="38" t="str">
        <x:v>Electricidad</x:v>
      </x:c>
      <x:c r="D261" s="38" t="str">
        <x:v>Protección/cuadro</x:v>
      </x:c>
      <x:c r="E261" s="38" t="str">
        <x:v>Diferencial 4P 40A 30Ma Ac</x:v>
      </x:c>
      <x:c r="F261" s="38" t="str">
        <x:v>DIFERENCIAL 4P 40A 30mA AC</x:v>
      </x:c>
      <x:c r="G261" s="38" t="str">
        <x:v>06240019R0 / 202070</x:v>
      </x:c>
      <x:c r="H261" s="38" t="str">
        <x:v>Comercial Eléctrica Canarias, S.A.</x:v>
      </x:c>
      <x:c r="I261" s="38" t="str">
        <x:v>Factura 92240926</x:v>
      </x:c>
      <x:c r="J261" s="115" t="str">
        <x:v>31/05/2026</x:v>
      </x:c>
      <x:c r="K261" s="38" t="str">
        <x:v>Albarán 132.633/013 (20/05/2026)</x:v>
      </x:c>
      <x:c r="L261" s="38" t="n">
        <x:v>1</x:v>
      </x:c>
      <x:c r="M261" s="38" t="str">
        <x:v>Unidad</x:v>
      </x:c>
      <x:c r="N261" s="38" t="n">
        <x:v>1</x:v>
      </x:c>
      <x:c r="O261" s="38" t="str">
        <x:v>Unidad</x:v>
      </x:c>
      <x:c r="P261" s="99" t="n">
        <x:v>35.35</x:v>
      </x:c>
      <x:c r="Q261" s="114" t="n">
        <x:v>0</x:v>
      </x:c>
      <x:c r="R261" s="99" t="n">
        <x:v>35.35</x:v>
      </x:c>
      <x:c r="S261" s="99" t="n">
        <x:f>IFERROR(R261/L261,P261*(1-Q261))</x:f>
        <x:v>35.35</x:v>
      </x:c>
      <x:c r="T261" s="114" t="n">
        <x:v>0.07</x:v>
      </x:c>
      <x:c r="U261" s="99" t="n">
        <x:f>S261*(1+T261)</x:f>
        <x:v>37.8245</x:v>
      </x:c>
      <x:c r="V261" s="99" t="n">
        <x:f>S261</x:f>
        <x:v>35.35</x:v>
      </x:c>
      <x:c r="W261" s="99" t="n">
        <x:f>V261-S261</x:f>
        <x:v>0</x:v>
      </x:c>
      <x:c r="X261" s="114" t="n">
        <x:f>IFERROR(W261/V261,0)</x:f>
        <x:v>0</x:v>
      </x:c>
      <x:c r="Y261" s="38" t="str">
        <x:v>Por unidad</x:v>
      </x:c>
      <x:c r="Z261" s="38" t="str">
        <x:f>IF(Y261="Botella / 3 instalaciones","Precio botella / 3",IF(Y261="Por rollo o metros proporcionales","Si se pasa rollo: rollo completo. Si se pasan metros: proporcional",Y261))</x:f>
        <x:v>Por unidad</x:v>
      </x:c>
      <x:c r="AA261" s="38" t="n">
        <x:v>1</x:v>
      </x:c>
      <x:c r="AB261" s="38" t="str"/>
      <x:c r="AC261" s="38" t="str"/>
      <x:c r="AD261" s="116" t="str">
        <x:v>2026-06-30</x:v>
      </x:c>
      <x:c r="AE261" s="38" t="str">
        <x:v>No</x:v>
      </x:c>
      <x:c r="AF261" s="38" t="str"/>
    </x:row>
    <x:row r="262">
      <x:c r="A262" s="38" t="str">
        <x:v>MAT-0261</x:v>
      </x:c>
      <x:c r="B262" s="38" t="str">
        <x:v>Sí</x:v>
      </x:c>
      <x:c r="C262" s="38" t="str">
        <x:v>Sin clasificar</x:v>
      </x:c>
      <x:c r="D262" s="38" t="str"/>
      <x:c r="E262" s="38" t="str">
        <x:v>Tapa Ciega 2 Modulos Bla Q45</x:v>
      </x:c>
      <x:c r="F262" s="38" t="str">
        <x:v>TAPA CIEGA 2 MODULOS BLA Q45</x:v>
      </x:c>
      <x:c r="G262" s="38" t="str">
        <x:v>EFA-45677 SBR / 25456770</x:v>
      </x:c>
      <x:c r="H262" s="38" t="str">
        <x:v>Comercial Eléctrica Canarias, S.A.</x:v>
      </x:c>
      <x:c r="I262" s="38" t="str">
        <x:v>Factura 92240926</x:v>
      </x:c>
      <x:c r="J262" s="115" t="str">
        <x:v>31/05/2026</x:v>
      </x:c>
      <x:c r="K262" s="38" t="str">
        <x:v>Albarán 132.639/013 (20/05/2026)</x:v>
      </x:c>
      <x:c r="L262" s="38" t="n">
        <x:v>3</x:v>
      </x:c>
      <x:c r="M262" s="38" t="str">
        <x:v>Unidad</x:v>
      </x:c>
      <x:c r="N262" s="38" t="n">
        <x:v>1</x:v>
      </x:c>
      <x:c r="O262" s="38" t="str">
        <x:v>Unidad</x:v>
      </x:c>
      <x:c r="P262" s="99" t="n">
        <x:v>0.996</x:v>
      </x:c>
      <x:c r="Q262" s="114" t="n">
        <x:v>0</x:v>
      </x:c>
      <x:c r="R262" s="99" t="n">
        <x:v>2.99</x:v>
      </x:c>
      <x:c r="S262" s="99" t="n">
        <x:f>IFERROR(R262/L262,P262*(1-Q262))</x:f>
        <x:v>0.9966666666666667</x:v>
      </x:c>
      <x:c r="T262" s="114" t="n">
        <x:v>0.07</x:v>
      </x:c>
      <x:c r="U262" s="99" t="n">
        <x:f>S262*(1+T262)</x:f>
        <x:v>1.0664333333333333</x:v>
      </x:c>
      <x:c r="V262" s="99" t="n">
        <x:f>S262</x:f>
        <x:v>0.9966666666666667</x:v>
      </x:c>
      <x:c r="W262" s="99" t="n">
        <x:f>V262-S262</x:f>
        <x:v>0</x:v>
      </x:c>
      <x:c r="X262" s="114" t="n">
        <x:f>IFERROR(W262/V262,0)</x:f>
        <x:v>0</x:v>
      </x:c>
      <x:c r="Y262" s="38" t="str">
        <x:v>Por unidad</x:v>
      </x:c>
      <x:c r="Z262" s="38" t="str">
        <x:f>IF(Y262="Botella / 3 instalaciones","Precio botella / 3",IF(Y262="Por rollo o metros proporcionales","Si se pasa rollo: rollo completo. Si se pasan metros: proporcional",Y262))</x:f>
        <x:v>Por unidad</x:v>
      </x:c>
      <x:c r="AA262" s="38" t="n">
        <x:v>1</x:v>
      </x:c>
      <x:c r="AB262" s="38" t="str"/>
      <x:c r="AC262" s="38" t="str"/>
      <x:c r="AD262" s="116" t="str">
        <x:v>2026-06-30</x:v>
      </x:c>
      <x:c r="AE262" s="38" t="str">
        <x:v>Sí</x:v>
      </x:c>
      <x:c r="AF262" s="38" t="str">
        <x:v>Revisar categoría antes de usar en cálculo automático.</x:v>
      </x:c>
    </x:row>
    <x:row r="263">
      <x:c r="A263" s="38" t="str">
        <x:v>MAT-0262</x:v>
      </x:c>
      <x:c r="B263" s="38" t="str">
        <x:v>Sí</x:v>
      </x:c>
      <x:c r="C263" s="38" t="str">
        <x:v>Sin clasificar</x:v>
      </x:c>
      <x:c r="D263" s="38" t="str"/>
      <x:c r="E263" s="38" t="str">
        <x:v>Puesto Trabajo Supf.3Fx4Mod</x:v>
      </x:c>
      <x:c r="F263" s="38" t="str">
        <x:v>PUESTO TRABAJO SUPF.3Fx4MOD</x:v>
      </x:c>
      <x:c r="G263" s="38" t="str">
        <x:v>83412 SBR / 25834120</x:v>
      </x:c>
      <x:c r="H263" s="38" t="str">
        <x:v>Comercial Eléctrica Canarias, S.A.</x:v>
      </x:c>
      <x:c r="I263" s="38" t="str">
        <x:v>Factura 92240926</x:v>
      </x:c>
      <x:c r="J263" s="115" t="str">
        <x:v>31/05/2026</x:v>
      </x:c>
      <x:c r="K263" s="38" t="str">
        <x:v>Albarán 132.639/013 (20/05/2026)</x:v>
      </x:c>
      <x:c r="L263" s="38" t="n">
        <x:v>2</x:v>
      </x:c>
      <x:c r="M263" s="38" t="str">
        <x:v>Unidad</x:v>
      </x:c>
      <x:c r="N263" s="38" t="n">
        <x:v>1</x:v>
      </x:c>
      <x:c r="O263" s="38" t="str">
        <x:v>Unidad</x:v>
      </x:c>
      <x:c r="P263" s="99" t="n">
        <x:v>19.048</x:v>
      </x:c>
      <x:c r="Q263" s="114" t="n">
        <x:v>0</x:v>
      </x:c>
      <x:c r="R263" s="99" t="n">
        <x:v>38.1</x:v>
      </x:c>
      <x:c r="S263" s="99" t="n">
        <x:f>IFERROR(R263/L263,P263*(1-Q263))</x:f>
        <x:v>19.05</x:v>
      </x:c>
      <x:c r="T263" s="114" t="n">
        <x:v>0.07</x:v>
      </x:c>
      <x:c r="U263" s="99" t="n">
        <x:f>S263*(1+T263)</x:f>
        <x:v>20.3835</x:v>
      </x:c>
      <x:c r="V263" s="99" t="n">
        <x:f>S263</x:f>
        <x:v>19.05</x:v>
      </x:c>
      <x:c r="W263" s="99" t="n">
        <x:f>V263-S263</x:f>
        <x:v>0</x:v>
      </x:c>
      <x:c r="X263" s="114" t="n">
        <x:f>IFERROR(W263/V263,0)</x:f>
        <x:v>0</x:v>
      </x:c>
      <x:c r="Y263" s="38" t="str">
        <x:v>Por unidad</x:v>
      </x:c>
      <x:c r="Z263" s="38" t="str">
        <x:f>IF(Y263="Botella / 3 instalaciones","Precio botella / 3",IF(Y263="Por rollo o metros proporcionales","Si se pasa rollo: rollo completo. Si se pasan metros: proporcional",Y263))</x:f>
        <x:v>Por unidad</x:v>
      </x:c>
      <x:c r="AA263" s="38" t="n">
        <x:v>1</x:v>
      </x:c>
      <x:c r="AB263" s="38" t="str"/>
      <x:c r="AC263" s="38" t="str"/>
      <x:c r="AD263" s="116" t="str">
        <x:v>2026-06-30</x:v>
      </x:c>
      <x:c r="AE263" s="38" t="str">
        <x:v>Sí</x:v>
      </x:c>
      <x:c r="AF263" s="38" t="str">
        <x:v>Revisar categoría antes de usar en cálculo automático.</x:v>
      </x:c>
    </x:row>
    <x:row r="264">
      <x:c r="A264" s="38" t="str">
        <x:v>MAT-0263</x:v>
      </x:c>
      <x:c r="B264" s="38" t="str">
        <x:v>Sí</x:v>
      </x:c>
      <x:c r="C264" s="38" t="str">
        <x:v>Sin clasificar</x:v>
      </x:c>
      <x:c r="D264" s="38" t="str"/>
      <x:c r="E264" s="38" t="str">
        <x:v>Tapa Rj45 Simple Key.2M Bl Q45</x:v>
      </x:c>
      <x:c r="F264" s="38" t="str">
        <x:v>TAPA RJ45 SIMPLE KEY.2M BL Q45</x:v>
      </x:c>
      <x:c r="G264" s="38" t="str">
        <x:v>EFA-45976 SBR / 25459760</x:v>
      </x:c>
      <x:c r="H264" s="38" t="str">
        <x:v>Comercial Eléctrica Canarias, S.A.</x:v>
      </x:c>
      <x:c r="I264" s="38" t="str">
        <x:v>Factura 92240926</x:v>
      </x:c>
      <x:c r="J264" s="115" t="str">
        <x:v>31/05/2026</x:v>
      </x:c>
      <x:c r="K264" s="38" t="str">
        <x:v>Albarán 132.639/013 (20/05/2026)</x:v>
      </x:c>
      <x:c r="L264" s="38" t="n">
        <x:v>6</x:v>
      </x:c>
      <x:c r="M264" s="38" t="str">
        <x:v>Unidad</x:v>
      </x:c>
      <x:c r="N264" s="38" t="n">
        <x:v>1</x:v>
      </x:c>
      <x:c r="O264" s="38" t="str">
        <x:v>Unidad</x:v>
      </x:c>
      <x:c r="P264" s="99" t="n">
        <x:v>1.908</x:v>
      </x:c>
      <x:c r="Q264" s="114" t="n">
        <x:v>0</x:v>
      </x:c>
      <x:c r="R264" s="99" t="n">
        <x:v>11.45</x:v>
      </x:c>
      <x:c r="S264" s="99" t="n">
        <x:f>IFERROR(R264/L264,P264*(1-Q264))</x:f>
        <x:v>1.9083333333333332</x:v>
      </x:c>
      <x:c r="T264" s="114" t="n">
        <x:v>0.07</x:v>
      </x:c>
      <x:c r="U264" s="99" t="n">
        <x:f>S264*(1+T264)</x:f>
        <x:v>2.041916666666667</x:v>
      </x:c>
      <x:c r="V264" s="99" t="n">
        <x:f>S264</x:f>
        <x:v>1.9083333333333332</x:v>
      </x:c>
      <x:c r="W264" s="99" t="n">
        <x:f>V264-S264</x:f>
        <x:v>0</x:v>
      </x:c>
      <x:c r="X264" s="114" t="n">
        <x:f>IFERROR(W264/V264,0)</x:f>
        <x:v>0</x:v>
      </x:c>
      <x:c r="Y264" s="38" t="str">
        <x:v>Por unidad</x:v>
      </x:c>
      <x:c r="Z264" s="38" t="str">
        <x:f>IF(Y264="Botella / 3 instalaciones","Precio botella / 3",IF(Y264="Por rollo o metros proporcionales","Si se pasa rollo: rollo completo. Si se pasan metros: proporcional",Y264))</x:f>
        <x:v>Por unidad</x:v>
      </x:c>
      <x:c r="AA264" s="38" t="n">
        <x:v>1</x:v>
      </x:c>
      <x:c r="AB264" s="38" t="str"/>
      <x:c r="AC264" s="38" t="str"/>
      <x:c r="AD264" s="116" t="str">
        <x:v>2026-06-30</x:v>
      </x:c>
      <x:c r="AE264" s="38" t="str">
        <x:v>Sí</x:v>
      </x:c>
      <x:c r="AF264" s="38" t="str">
        <x:v>Revisar categoría antes de usar en cálculo automático.</x:v>
      </x:c>
    </x:row>
    <x:row r="265">
      <x:c r="A265" s="38" t="str">
        <x:v>MAT-0264</x:v>
      </x:c>
      <x:c r="B265" s="38" t="str">
        <x:v>Sí</x:v>
      </x:c>
      <x:c r="C265" s="38" t="str">
        <x:v>Sin clasificar</x:v>
      </x:c>
      <x:c r="D265" s="38" t="str"/>
      <x:c r="E265" s="38" t="str">
        <x:v>Schuko Doble C/Protec.Blan Q45 45192 Sbr</x:v>
      </x:c>
      <x:c r="F265" s="38" t="str">
        <x:v>SCHUKO DOBLE C/PROTEC.BLAN Q45 45192 SBR</x:v>
      </x:c>
      <x:c r="G265" s="38" t="str">
        <x:v>25451920</x:v>
      </x:c>
      <x:c r="H265" s="38" t="str">
        <x:v>Comercial Eléctrica Canarias, S.A.</x:v>
      </x:c>
      <x:c r="I265" s="38" t="str">
        <x:v>Factura 92240926</x:v>
      </x:c>
      <x:c r="J265" s="115" t="str">
        <x:v>31/05/2026</x:v>
      </x:c>
      <x:c r="K265" s="38" t="str">
        <x:v>Albarán 132.639/013 (20/05/2026)</x:v>
      </x:c>
      <x:c r="L265" s="38" t="n">
        <x:v>2</x:v>
      </x:c>
      <x:c r="M265" s="38" t="str">
        <x:v>Unidad</x:v>
      </x:c>
      <x:c r="N265" s="38" t="n">
        <x:v>1</x:v>
      </x:c>
      <x:c r="O265" s="38" t="str">
        <x:v>Unidad</x:v>
      </x:c>
      <x:c r="P265" s="99" t="n">
        <x:v>5.718</x:v>
      </x:c>
      <x:c r="Q265" s="114" t="n">
        <x:v>0</x:v>
      </x:c>
      <x:c r="R265" s="99" t="n">
        <x:v>11.44</x:v>
      </x:c>
      <x:c r="S265" s="99" t="n">
        <x:f>IFERROR(R265/L265,P265*(1-Q265))</x:f>
        <x:v>5.72</x:v>
      </x:c>
      <x:c r="T265" s="114" t="n">
        <x:v>0.07</x:v>
      </x:c>
      <x:c r="U265" s="99" t="n">
        <x:f>S265*(1+T265)</x:f>
        <x:v>6.1204</x:v>
      </x:c>
      <x:c r="V265" s="99" t="n">
        <x:f>S265</x:f>
        <x:v>5.72</x:v>
      </x:c>
      <x:c r="W265" s="99" t="n">
        <x:f>V265-S265</x:f>
        <x:v>0</x:v>
      </x:c>
      <x:c r="X265" s="114" t="n">
        <x:f>IFERROR(W265/V265,0)</x:f>
        <x:v>0</x:v>
      </x:c>
      <x:c r="Y265" s="38" t="str">
        <x:v>Por unidad</x:v>
      </x:c>
      <x:c r="Z265" s="38" t="str">
        <x:f>IF(Y265="Botella / 3 instalaciones","Precio botella / 3",IF(Y265="Por rollo o metros proporcionales","Si se pasa rollo: rollo completo. Si se pasan metros: proporcional",Y265))</x:f>
        <x:v>Por unidad</x:v>
      </x:c>
      <x:c r="AA265" s="38" t="n">
        <x:v>1</x:v>
      </x:c>
      <x:c r="AB265" s="38" t="str"/>
      <x:c r="AC265" s="38" t="str"/>
      <x:c r="AD265" s="116" t="str">
        <x:v>2026-06-30</x:v>
      </x:c>
      <x:c r="AE265" s="38" t="str">
        <x:v>Sí</x:v>
      </x:c>
      <x:c r="AF265" s="38" t="str">
        <x:v>Revisar categoría antes de usar en cálculo automático.</x:v>
      </x:c>
    </x:row>
    <x:row r="266">
      <x:c r="A266" s="38" t="str">
        <x:v>MAT-0265</x:v>
      </x:c>
      <x:c r="B266" s="38" t="str">
        <x:v>Sí</x:v>
      </x:c>
      <x:c r="C266" s="38" t="str">
        <x:v>Sin clasificar</x:v>
      </x:c>
      <x:c r="D266" s="38" t="str"/>
      <x:c r="E266" s="38" t="str">
        <x:v>Conector Rj45 Cat.6A Utp</x:v>
      </x:c>
      <x:c r="F266" s="38" t="str">
        <x:v>CONECTOR RJ45 CAT.6A UTP</x:v>
      </x:c>
      <x:c r="G266" s="38" t="str">
        <x:v>EFA-82021 / 25820210</x:v>
      </x:c>
      <x:c r="H266" s="38" t="str">
        <x:v>Comercial Eléctrica Canarias, S.A.</x:v>
      </x:c>
      <x:c r="I266" s="38" t="str">
        <x:v>Factura 92240926</x:v>
      </x:c>
      <x:c r="J266" s="115" t="str">
        <x:v>31/05/2026</x:v>
      </x:c>
      <x:c r="K266" s="38" t="str">
        <x:v>Albarán 132.639/013 (20/05/2026)</x:v>
      </x:c>
      <x:c r="L266" s="38" t="n">
        <x:v>6</x:v>
      </x:c>
      <x:c r="M266" s="38" t="str">
        <x:v>Unidad</x:v>
      </x:c>
      <x:c r="N266" s="38" t="n">
        <x:v>1</x:v>
      </x:c>
      <x:c r="O266" s="38" t="str">
        <x:v>Unidad</x:v>
      </x:c>
      <x:c r="P266" s="99" t="n">
        <x:v>3.404</x:v>
      </x:c>
      <x:c r="Q266" s="114" t="n">
        <x:v>0</x:v>
      </x:c>
      <x:c r="R266" s="99" t="n">
        <x:v>20.42</x:v>
      </x:c>
      <x:c r="S266" s="99" t="n">
        <x:f>IFERROR(R266/L266,P266*(1-Q266))</x:f>
        <x:v>3.4033333333333338</x:v>
      </x:c>
      <x:c r="T266" s="114" t="n">
        <x:v>0.07</x:v>
      </x:c>
      <x:c r="U266" s="99" t="n">
        <x:f>S266*(1+T266)</x:f>
        <x:v>3.6415666666666673</x:v>
      </x:c>
      <x:c r="V266" s="99" t="n">
        <x:f>S266</x:f>
        <x:v>3.4033333333333338</x:v>
      </x:c>
      <x:c r="W266" s="99" t="n">
        <x:f>V266-S266</x:f>
        <x:v>0</x:v>
      </x:c>
      <x:c r="X266" s="114" t="n">
        <x:f>IFERROR(W266/V266,0)</x:f>
        <x:v>0</x:v>
      </x:c>
      <x:c r="Y266" s="38" t="str">
        <x:v>Por unidad</x:v>
      </x:c>
      <x:c r="Z266" s="38" t="str">
        <x:f>IF(Y266="Botella / 3 instalaciones","Precio botella / 3",IF(Y266="Por rollo o metros proporcionales","Si se pasa rollo: rollo completo. Si se pasan metros: proporcional",Y266))</x:f>
        <x:v>Por unidad</x:v>
      </x:c>
      <x:c r="AA266" s="38" t="n">
        <x:v>1</x:v>
      </x:c>
      <x:c r="AB266" s="38" t="str"/>
      <x:c r="AC266" s="38" t="str"/>
      <x:c r="AD266" s="116" t="str">
        <x:v>2026-06-30</x:v>
      </x:c>
      <x:c r="AE266" s="38" t="str">
        <x:v>Sí</x:v>
      </x:c>
      <x:c r="AF266" s="38" t="str">
        <x:v>Revisar categoría antes de usar en cálculo automático.</x:v>
      </x:c>
    </x:row>
    <x:row r="267">
      <x:c r="A267" s="38" t="str">
        <x:v>MAT-0266</x:v>
      </x:c>
      <x:c r="B267" s="38" t="str">
        <x:v>Sí</x:v>
      </x:c>
      <x:c r="C267" s="38" t="str">
        <x:v>Desagüe</x:v>
      </x:c>
      <x:c r="D267" s="38" t="str">
        <x:v>Tubo/accesorios desagüe</x:v>
      </x:c>
      <x:c r="E267" s="38" t="str">
        <x:v>Tubo Pvc Rig.Gris Rkb 4321 M32</x:v>
      </x:c>
      <x:c r="F267" s="38" t="str">
        <x:v>TUBO PVC RIG.GRIS RKB 4321 M32</x:v>
      </x:c>
      <x:c r="G267" s="38" t="str">
        <x:v>GEW-DX25732 / 9257329</x:v>
      </x:c>
      <x:c r="H267" s="38" t="str">
        <x:v>Comercial Eléctrica Canarias, S.A.</x:v>
      </x:c>
      <x:c r="I267" s="38" t="str">
        <x:v>Factura 92240926</x:v>
      </x:c>
      <x:c r="J267" s="115" t="str">
        <x:v>31/05/2026</x:v>
      </x:c>
      <x:c r="K267" s="38" t="str">
        <x:v>Albarán 132.639/013 (20/05/2026)</x:v>
      </x:c>
      <x:c r="L267" s="38" t="n">
        <x:v>6</x:v>
      </x:c>
      <x:c r="M267" s="38" t="str">
        <x:v>Unidad</x:v>
      </x:c>
      <x:c r="N267" s="38" t="n">
        <x:v>1</x:v>
      </x:c>
      <x:c r="O267" s="38" t="str">
        <x:v>Unidad</x:v>
      </x:c>
      <x:c r="P267" s="99" t="n">
        <x:v>1.193</x:v>
      </x:c>
      <x:c r="Q267" s="114" t="n">
        <x:v>0</x:v>
      </x:c>
      <x:c r="R267" s="99" t="n">
        <x:v>7.16</x:v>
      </x:c>
      <x:c r="S267" s="99" t="n">
        <x:f>IFERROR(R267/L267,P267*(1-Q267))</x:f>
        <x:v>1.1933333333333334</x:v>
      </x:c>
      <x:c r="T267" s="114" t="n">
        <x:v>0.03</x:v>
      </x:c>
      <x:c r="U267" s="99" t="n">
        <x:f>S267*(1+T267)</x:f>
        <x:v>1.2291333333333334</x:v>
      </x:c>
      <x:c r="V267" s="99" t="n">
        <x:f>S267</x:f>
        <x:v>1.1933333333333334</x:v>
      </x:c>
      <x:c r="W267" s="99" t="n">
        <x:f>V267-S267</x:f>
        <x:v>0</x:v>
      </x:c>
      <x:c r="X267" s="114" t="n">
        <x:f>IFERROR(W267/V267,0)</x:f>
        <x:v>0</x:v>
      </x:c>
      <x:c r="Y267" s="38" t="str">
        <x:v>Por unidad</x:v>
      </x:c>
      <x:c r="Z267" s="38" t="str">
        <x:f>IF(Y267="Botella / 3 instalaciones","Precio botella / 3",IF(Y267="Por rollo o metros proporcionales","Si se pasa rollo: rollo completo. Si se pasan metros: proporcional",Y267))</x:f>
        <x:v>Por unidad</x:v>
      </x:c>
      <x:c r="AA267" s="38" t="n">
        <x:v>1</x:v>
      </x:c>
      <x:c r="AB267" s="38" t="str"/>
      <x:c r="AC267" s="38" t="str"/>
      <x:c r="AD267" s="116" t="str">
        <x:v>2026-06-30</x:v>
      </x:c>
      <x:c r="AE267" s="38" t="str">
        <x:v>No</x:v>
      </x:c>
      <x:c r="AF267" s="38" t="str"/>
    </x:row>
    <x:row r="268">
      <x:c r="A268" s="38" t="str">
        <x:v>MAT-0267</x:v>
      </x:c>
      <x:c r="B268" s="38" t="str">
        <x:v>Sí</x:v>
      </x:c>
      <x:c r="C268" s="38" t="str">
        <x:v>Electricidad</x:v>
      </x:c>
      <x:c r="D268" s="38" t="str">
        <x:v>Cable eléctrico</x:v>
      </x:c>
      <x:c r="E268" s="38" t="str">
        <x:v>Cable Utp Cat6 Lszh Tel.219910</x:v>
      </x:c>
      <x:c r="F268" s="38" t="str">
        <x:v>CABLE UTP CAT6 LSZH TEL.219910</x:v>
      </x:c>
      <x:c r="G268" s="38" t="str">
        <x:v>219910 / 2219910</x:v>
      </x:c>
      <x:c r="H268" s="38" t="str">
        <x:v>Comercial Eléctrica Canarias, S.A.</x:v>
      </x:c>
      <x:c r="I268" s="38" t="str">
        <x:v>Factura 92240926</x:v>
      </x:c>
      <x:c r="J268" s="115" t="str">
        <x:v>31/05/2026</x:v>
      </x:c>
      <x:c r="K268" s="38" t="str">
        <x:v>Albarán 132.639/013 (20/05/2026)</x:v>
      </x:c>
      <x:c r="L268" s="38" t="n">
        <x:v>610</x:v>
      </x:c>
      <x:c r="M268" s="38" t="str">
        <x:v>Metro</x:v>
      </x:c>
      <x:c r="N268" s="38" t="n">
        <x:v>1</x:v>
      </x:c>
      <x:c r="O268" s="38" t="str">
        <x:v>Metro</x:v>
      </x:c>
      <x:c r="P268" s="99" t="n">
        <x:v>0.34</x:v>
      </x:c>
      <x:c r="Q268" s="114" t="n">
        <x:v>0</x:v>
      </x:c>
      <x:c r="R268" s="99" t="n">
        <x:v>207.4</x:v>
      </x:c>
      <x:c r="S268" s="99" t="n">
        <x:f>IFERROR(R268/L268,P268*(1-Q268))</x:f>
        <x:v>0.34</x:v>
      </x:c>
      <x:c r="T268" s="114" t="n">
        <x:v>0.07</x:v>
      </x:c>
      <x:c r="U268" s="99" t="n">
        <x:f>S268*(1+T268)</x:f>
        <x:v>0.36380000000000007</x:v>
      </x:c>
      <x:c r="V268" s="99" t="n">
        <x:f>S268</x:f>
        <x:v>0.34</x:v>
      </x:c>
      <x:c r="W268" s="99" t="n">
        <x:f>V268-S268</x:f>
        <x:v>0</x:v>
      </x:c>
      <x:c r="X268" s="114" t="n">
        <x:f>IFERROR(W268/V268,0)</x:f>
        <x:v>0</x:v>
      </x:c>
      <x:c r="Y268" s="38" t="str">
        <x:v>Por metros</x:v>
      </x:c>
      <x:c r="Z268" s="38" t="str">
        <x:f>IF(Y268="Botella / 3 instalaciones","Precio botella / 3",IF(Y268="Por rollo o metros proporcionales","Si se pasa rollo: rollo completo. Si se pasan metros: proporcional",Y268))</x:f>
        <x:v>Por metros</x:v>
      </x:c>
      <x:c r="AA268" s="38" t="n">
        <x:v>1</x:v>
      </x:c>
      <x:c r="AB268" s="38" t="str"/>
      <x:c r="AC268" s="38" t="str"/>
      <x:c r="AD268" s="116" t="str">
        <x:v>2026-06-30</x:v>
      </x:c>
      <x:c r="AE268" s="38" t="str">
        <x:v>No</x:v>
      </x:c>
      <x:c r="AF268" s="38" t="str"/>
    </x:row>
    <x:row r="269">
      <x:c r="A269" s="38" t="str">
        <x:v>MAT-0268</x:v>
      </x:c>
      <x:c r="B269" s="38" t="str">
        <x:v>Sí</x:v>
      </x:c>
      <x:c r="C269" s="38" t="str">
        <x:v>Sin clasificar</x:v>
      </x:c>
      <x:c r="D269" s="38" t="str"/>
      <x:c r="E269" s="38" t="str">
        <x:v>Conector Utp Cat.6 Macho(Sme46</x:v>
      </x:c>
      <x:c r="F269" s="38" t="str">
        <x:v>CONECTOR UTP CAT.6 MACHO(SME46</x:v>
      </x:c>
      <x:c r="G269" s="38" t="str">
        <x:v>SME46 / 11426</x:v>
      </x:c>
      <x:c r="H269" s="38" t="str">
        <x:v>Comercial Eléctrica Canarias, S.A.</x:v>
      </x:c>
      <x:c r="I269" s="38" t="str">
        <x:v>Factura 92240926</x:v>
      </x:c>
      <x:c r="J269" s="115" t="str">
        <x:v>31/05/2026</x:v>
      </x:c>
      <x:c r="K269" s="38" t="str">
        <x:v>Albarán 132.640/013 (20/05/2026)</x:v>
      </x:c>
      <x:c r="L269" s="38" t="n">
        <x:v>10</x:v>
      </x:c>
      <x:c r="M269" s="38" t="str">
        <x:v>Unidad</x:v>
      </x:c>
      <x:c r="N269" s="38" t="n">
        <x:v>1</x:v>
      </x:c>
      <x:c r="O269" s="38" t="str">
        <x:v>Unidad</x:v>
      </x:c>
      <x:c r="P269" s="99" t="n">
        <x:v>0.199</x:v>
      </x:c>
      <x:c r="Q269" s="114" t="n">
        <x:v>0</x:v>
      </x:c>
      <x:c r="R269" s="99" t="n">
        <x:v>1.99</x:v>
      </x:c>
      <x:c r="S269" s="99" t="n">
        <x:f>IFERROR(R269/L269,P269*(1-Q269))</x:f>
        <x:v>0.199</x:v>
      </x:c>
      <x:c r="T269" s="114" t="n">
        <x:v>0.07</x:v>
      </x:c>
      <x:c r="U269" s="99" t="n">
        <x:f>S269*(1+T269)</x:f>
        <x:v>0.21293000000000004</x:v>
      </x:c>
      <x:c r="V269" s="99" t="n">
        <x:f>S269</x:f>
        <x:v>0.199</x:v>
      </x:c>
      <x:c r="W269" s="99" t="n">
        <x:f>V269-S269</x:f>
        <x:v>0</x:v>
      </x:c>
      <x:c r="X269" s="114" t="n">
        <x:f>IFERROR(W269/V269,0)</x:f>
        <x:v>0</x:v>
      </x:c>
      <x:c r="Y269" s="38" t="str">
        <x:v>Por unidad</x:v>
      </x:c>
      <x:c r="Z269" s="38" t="str">
        <x:f>IF(Y269="Botella / 3 instalaciones","Precio botella / 3",IF(Y269="Por rollo o metros proporcionales","Si se pasa rollo: rollo completo. Si se pasan metros: proporcional",Y269))</x:f>
        <x:v>Por unidad</x:v>
      </x:c>
      <x:c r="AA269" s="38" t="n">
        <x:v>1</x:v>
      </x:c>
      <x:c r="AB269" s="38" t="str"/>
      <x:c r="AC269" s="38" t="str"/>
      <x:c r="AD269" s="116" t="str">
        <x:v>2026-06-30</x:v>
      </x:c>
      <x:c r="AE269" s="38" t="str">
        <x:v>Sí</x:v>
      </x:c>
      <x:c r="AF269" s="38" t="str">
        <x:v>Revisar categoría antes de usar en cálculo automático.</x:v>
      </x:c>
    </x:row>
    <x:row r="270">
      <x:c r="A270" s="38" t="str">
        <x:v>MAT-0269</x:v>
      </x:c>
      <x:c r="B270" s="38" t="str">
        <x:v>Sí</x:v>
      </x:c>
      <x:c r="C270" s="38" t="str">
        <x:v>Electricidad</x:v>
      </x:c>
      <x:c r="D270" s="38" t="str">
        <x:v>Cable eléctrico</x:v>
      </x:c>
      <x:c r="E270" s="38" t="str">
        <x:v>Cable H07Z1-K Cpr 1X6 Negro</x:v>
      </x:c>
      <x:c r="F270" s="38" t="str">
        <x:v>CABLE H07Z1-K CPR 1X6 NEGRO</x:v>
      </x:c>
      <x:c r="G270" s="38" t="str">
        <x:v>CABLE / 555172</x:v>
      </x:c>
      <x:c r="H270" s="38" t="str">
        <x:v>Comercial Eléctrica Canarias, S.A.</x:v>
      </x:c>
      <x:c r="I270" s="38" t="str">
        <x:v>Factura 92240926</x:v>
      </x:c>
      <x:c r="J270" s="115" t="str">
        <x:v>31/05/2026</x:v>
      </x:c>
      <x:c r="K270" s="38" t="str">
        <x:v>Albarán 132.641/013 (20/05/2026)</x:v>
      </x:c>
      <x:c r="L270" s="38" t="n">
        <x:v>100</x:v>
      </x:c>
      <x:c r="M270" s="38" t="str">
        <x:v>Metro</x:v>
      </x:c>
      <x:c r="N270" s="38" t="n">
        <x:v>1</x:v>
      </x:c>
      <x:c r="O270" s="38" t="str">
        <x:v>Metro</x:v>
      </x:c>
      <x:c r="P270" s="99" t="n">
        <x:v>0.95</x:v>
      </x:c>
      <x:c r="Q270" s="114" t="n">
        <x:v>0</x:v>
      </x:c>
      <x:c r="R270" s="99" t="n">
        <x:v>95</x:v>
      </x:c>
      <x:c r="S270" s="99" t="n">
        <x:f>IFERROR(R270/L270,P270*(1-Q270))</x:f>
        <x:v>0.95</x:v>
      </x:c>
      <x:c r="T270" s="114" t="n">
        <x:v>0.07</x:v>
      </x:c>
      <x:c r="U270" s="99" t="n">
        <x:f>S270*(1+T270)</x:f>
        <x:v>1.0165</x:v>
      </x:c>
      <x:c r="V270" s="99" t="n">
        <x:f>S270</x:f>
        <x:v>0.95</x:v>
      </x:c>
      <x:c r="W270" s="99" t="n">
        <x:f>V270-S270</x:f>
        <x:v>0</x:v>
      </x:c>
      <x:c r="X270" s="114" t="n">
        <x:f>IFERROR(W270/V270,0)</x:f>
        <x:v>0</x:v>
      </x:c>
      <x:c r="Y270" s="38" t="str">
        <x:v>Por metros</x:v>
      </x:c>
      <x:c r="Z270" s="38" t="str">
        <x:f>IF(Y270="Botella / 3 instalaciones","Precio botella / 3",IF(Y270="Por rollo o metros proporcionales","Si se pasa rollo: rollo completo. Si se pasan metros: proporcional",Y270))</x:f>
        <x:v>Por metros</x:v>
      </x:c>
      <x:c r="AA270" s="38" t="n">
        <x:v>1</x:v>
      </x:c>
      <x:c r="AB270" s="38" t="str"/>
      <x:c r="AC270" s="38" t="str"/>
      <x:c r="AD270" s="116" t="str">
        <x:v>2026-06-30</x:v>
      </x:c>
      <x:c r="AE270" s="38" t="str">
        <x:v>No</x:v>
      </x:c>
      <x:c r="AF270" s="38" t="str"/>
    </x:row>
    <x:row r="271">
      <x:c r="A271" s="38" t="str">
        <x:v>MAT-0270</x:v>
      </x:c>
      <x:c r="B271" s="38" t="str">
        <x:v>Sí</x:v>
      </x:c>
      <x:c r="C271" s="38" t="str">
        <x:v>Electricidad</x:v>
      </x:c>
      <x:c r="D271" s="38" t="str">
        <x:v>Cable eléctrico</x:v>
      </x:c>
      <x:c r="E271" s="38" t="str">
        <x:v>Cable H07Z1-K Cpr 1X6 Gris</x:v>
      </x:c>
      <x:c r="F271" s="38" t="str">
        <x:v>CABLE H07Z1-K CPR 1X6 GRIS</x:v>
      </x:c>
      <x:c r="G271" s="38" t="str">
        <x:v>CABLE / 555174</x:v>
      </x:c>
      <x:c r="H271" s="38" t="str">
        <x:v>Comercial Eléctrica Canarias, S.A.</x:v>
      </x:c>
      <x:c r="I271" s="38" t="str">
        <x:v>Factura 92240926</x:v>
      </x:c>
      <x:c r="J271" s="115" t="str">
        <x:v>31/05/2026</x:v>
      </x:c>
      <x:c r="K271" s="38" t="str">
        <x:v>Albarán 132.641/013 (20/05/2026)</x:v>
      </x:c>
      <x:c r="L271" s="38" t="n">
        <x:v>100</x:v>
      </x:c>
      <x:c r="M271" s="38" t="str">
        <x:v>Metro</x:v>
      </x:c>
      <x:c r="N271" s="38" t="n">
        <x:v>1</x:v>
      </x:c>
      <x:c r="O271" s="38" t="str">
        <x:v>Metro</x:v>
      </x:c>
      <x:c r="P271" s="99" t="n">
        <x:v>0.95</x:v>
      </x:c>
      <x:c r="Q271" s="114" t="n">
        <x:v>0</x:v>
      </x:c>
      <x:c r="R271" s="99" t="n">
        <x:v>95</x:v>
      </x:c>
      <x:c r="S271" s="99" t="n">
        <x:f>IFERROR(R271/L271,P271*(1-Q271))</x:f>
        <x:v>0.95</x:v>
      </x:c>
      <x:c r="T271" s="114" t="n">
        <x:v>0.07</x:v>
      </x:c>
      <x:c r="U271" s="99" t="n">
        <x:f>S271*(1+T271)</x:f>
        <x:v>1.0165</x:v>
      </x:c>
      <x:c r="V271" s="99" t="n">
        <x:f>S271</x:f>
        <x:v>0.95</x:v>
      </x:c>
      <x:c r="W271" s="99" t="n">
        <x:f>V271-S271</x:f>
        <x:v>0</x:v>
      </x:c>
      <x:c r="X271" s="114" t="n">
        <x:f>IFERROR(W271/V271,0)</x:f>
        <x:v>0</x:v>
      </x:c>
      <x:c r="Y271" s="38" t="str">
        <x:v>Por metros</x:v>
      </x:c>
      <x:c r="Z271" s="38" t="str">
        <x:f>IF(Y271="Botella / 3 instalaciones","Precio botella / 3",IF(Y271="Por rollo o metros proporcionales","Si se pasa rollo: rollo completo. Si se pasan metros: proporcional",Y271))</x:f>
        <x:v>Por metros</x:v>
      </x:c>
      <x:c r="AA271" s="38" t="n">
        <x:v>1</x:v>
      </x:c>
      <x:c r="AB271" s="38" t="str"/>
      <x:c r="AC271" s="38" t="str"/>
      <x:c r="AD271" s="116" t="str">
        <x:v>2026-06-30</x:v>
      </x:c>
      <x:c r="AE271" s="38" t="str">
        <x:v>No</x:v>
      </x:c>
      <x:c r="AF271" s="38" t="str"/>
    </x:row>
    <x:row r="272">
      <x:c r="A272" s="38" t="str">
        <x:v>MAT-0271</x:v>
      </x:c>
      <x:c r="B272" s="38" t="str">
        <x:v>Sí</x:v>
      </x:c>
      <x:c r="C272" s="38" t="str">
        <x:v>Sin clasificar</x:v>
      </x:c>
      <x:c r="D272" s="38" t="str"/>
      <x:c r="E272" s="38" t="str">
        <x:v>Curva Rks Gris Ip40 M32</x:v>
      </x:c>
      <x:c r="F272" s="38" t="str">
        <x:v>CURVA RKS GRIS IP40 M32</x:v>
      </x:c>
      <x:c r="G272" s="38" t="str">
        <x:v>GEW-DX40132 / 9401329</x:v>
      </x:c>
      <x:c r="H272" s="38" t="str">
        <x:v>Comercial Eléctrica Canarias, S.A.</x:v>
      </x:c>
      <x:c r="I272" s="38" t="str">
        <x:v>Factura 92240926</x:v>
      </x:c>
      <x:c r="J272" s="115" t="str">
        <x:v>31/05/2026</x:v>
      </x:c>
      <x:c r="K272" s="38" t="str">
        <x:v>Albarán 132.641/013 (20/05/2026)</x:v>
      </x:c>
      <x:c r="L272" s="38" t="n">
        <x:v>4</x:v>
      </x:c>
      <x:c r="M272" s="38" t="str">
        <x:v>Unidad</x:v>
      </x:c>
      <x:c r="N272" s="38" t="n">
        <x:v>1</x:v>
      </x:c>
      <x:c r="O272" s="38" t="str">
        <x:v>Unidad</x:v>
      </x:c>
      <x:c r="P272" s="99" t="n">
        <x:v>1.728</x:v>
      </x:c>
      <x:c r="Q272" s="114" t="n">
        <x:v>0</x:v>
      </x:c>
      <x:c r="R272" s="99" t="n">
        <x:v>6.91</x:v>
      </x:c>
      <x:c r="S272" s="99" t="n">
        <x:f>IFERROR(R272/L272,P272*(1-Q272))</x:f>
        <x:v>1.7275</x:v>
      </x:c>
      <x:c r="T272" s="114" t="n">
        <x:v>0.03</x:v>
      </x:c>
      <x:c r="U272" s="99" t="n">
        <x:f>S272*(1+T272)</x:f>
        <x:v>1.779325</x:v>
      </x:c>
      <x:c r="V272" s="99" t="n">
        <x:f>S272</x:f>
        <x:v>1.7275</x:v>
      </x:c>
      <x:c r="W272" s="99" t="n">
        <x:f>V272-S272</x:f>
        <x:v>0</x:v>
      </x:c>
      <x:c r="X272" s="114" t="n">
        <x:f>IFERROR(W272/V272,0)</x:f>
        <x:v>0</x:v>
      </x:c>
      <x:c r="Y272" s="38" t="str">
        <x:v>Por unidad</x:v>
      </x:c>
      <x:c r="Z272" s="38" t="str">
        <x:f>IF(Y272="Botella / 3 instalaciones","Precio botella / 3",IF(Y272="Por rollo o metros proporcionales","Si se pasa rollo: rollo completo. Si se pasan metros: proporcional",Y272))</x:f>
        <x:v>Por unidad</x:v>
      </x:c>
      <x:c r="AA272" s="38" t="n">
        <x:v>1</x:v>
      </x:c>
      <x:c r="AB272" s="38" t="str"/>
      <x:c r="AC272" s="38" t="str"/>
      <x:c r="AD272" s="116" t="str">
        <x:v>2026-06-30</x:v>
      </x:c>
      <x:c r="AE272" s="38" t="str">
        <x:v>Sí</x:v>
      </x:c>
      <x:c r="AF272" s="38" t="str">
        <x:v>Revisar categoría antes de usar en cálculo automático.</x:v>
      </x:c>
    </x:row>
    <x:row r="273">
      <x:c r="A273" s="38" t="str">
        <x:v>MAT-0272</x:v>
      </x:c>
      <x:c r="B273" s="38" t="str">
        <x:v>Sí</x:v>
      </x:c>
      <x:c r="C273" s="38" t="str">
        <x:v>Desagüe</x:v>
      </x:c>
      <x:c r="D273" s="38" t="str">
        <x:v>Tubo/accesorios desagüe</x:v>
      </x:c>
      <x:c r="E273" s="38" t="str">
        <x:v>Tubo Pvc Rig.Gris Rkb 4321 M25</x:v>
      </x:c>
      <x:c r="F273" s="38" t="str">
        <x:v>TUBO PVC RIG.GRIS RKB 4321 M25</x:v>
      </x:c>
      <x:c r="G273" s="38" t="str">
        <x:v>GEW-DX25725 / 9257259</x:v>
      </x:c>
      <x:c r="H273" s="38" t="str">
        <x:v>Comercial Eléctrica Canarias, S.A.</x:v>
      </x:c>
      <x:c r="I273" s="38" t="str">
        <x:v>Factura 92240926</x:v>
      </x:c>
      <x:c r="J273" s="115" t="str">
        <x:v>31/05/2026</x:v>
      </x:c>
      <x:c r="K273" s="38" t="str">
        <x:v>Albarán 132.664/013 (21/05/2026)</x:v>
      </x:c>
      <x:c r="L273" s="38" t="n">
        <x:v>12</x:v>
      </x:c>
      <x:c r="M273" s="38" t="str">
        <x:v>m²</x:v>
      </x:c>
      <x:c r="N273" s="38" t="n">
        <x:v>1</x:v>
      </x:c>
      <x:c r="O273" s="38" t="str">
        <x:v>m²</x:v>
      </x:c>
      <x:c r="P273" s="99" t="n">
        <x:v>0.834</x:v>
      </x:c>
      <x:c r="Q273" s="114" t="n">
        <x:v>0</x:v>
      </x:c>
      <x:c r="R273" s="99" t="n">
        <x:v>10.01</x:v>
      </x:c>
      <x:c r="S273" s="99" t="n">
        <x:f>IFERROR(R273/L273,P273*(1-Q273))</x:f>
        <x:v>0.8341666666666666</x:v>
      </x:c>
      <x:c r="T273" s="114" t="n">
        <x:v>0.03</x:v>
      </x:c>
      <x:c r="U273" s="99" t="n">
        <x:f>S273*(1+T273)</x:f>
        <x:v>0.8591916666666667</x:v>
      </x:c>
      <x:c r="V273" s="99" t="n">
        <x:f>S273</x:f>
        <x:v>0.8341666666666666</x:v>
      </x:c>
      <x:c r="W273" s="99" t="n">
        <x:f>V273-S273</x:f>
        <x:v>0</x:v>
      </x:c>
      <x:c r="X273" s="114" t="n">
        <x:f>IFERROR(W273/V273,0)</x:f>
        <x:v>0</x:v>
      </x:c>
      <x:c r="Y273" s="38" t="str">
        <x:v>Por unidad</x:v>
      </x:c>
      <x:c r="Z273" s="38" t="str">
        <x:f>IF(Y273="Botella / 3 instalaciones","Precio botella / 3",IF(Y273="Por rollo o metros proporcionales","Si se pasa rollo: rollo completo. Si se pasan metros: proporcional",Y273))</x:f>
        <x:v>Por unidad</x:v>
      </x:c>
      <x:c r="AA273" s="38" t="n">
        <x:v>1</x:v>
      </x:c>
      <x:c r="AB273" s="38" t="str"/>
      <x:c r="AC273" s="38" t="str"/>
      <x:c r="AD273" s="116" t="str">
        <x:v>2026-06-30</x:v>
      </x:c>
      <x:c r="AE273" s="38" t="str">
        <x:v>No</x:v>
      </x:c>
      <x:c r="AF273" s="38" t="str"/>
    </x:row>
    <x:row r="274">
      <x:c r="A274" s="38" t="str">
        <x:v>MAT-0273</x:v>
      </x:c>
      <x:c r="B274" s="38" t="str">
        <x:v>Sí</x:v>
      </x:c>
      <x:c r="C274" s="38" t="str">
        <x:v>Electricidad</x:v>
      </x:c>
      <x:c r="D274" s="38" t="str">
        <x:v>Protección/cuadro</x:v>
      </x:c>
      <x:c r="E274" s="38" t="str">
        <x:v>Automatico 1P+N 16A 6Ka C</x:v>
      </x:c>
      <x:c r="F274" s="38" t="str">
        <x:v>AUTOMATICO 1P+N 16A 6kA C</x:v>
      </x:c>
      <x:c r="G274" s="38" t="str">
        <x:v>06122612R0 / 202026</x:v>
      </x:c>
      <x:c r="H274" s="38" t="str">
        <x:v>Comercial Eléctrica Canarias, S.A.</x:v>
      </x:c>
      <x:c r="I274" s="38" t="str">
        <x:v>Factura 92240926</x:v>
      </x:c>
      <x:c r="J274" s="115" t="str">
        <x:v>31/05/2026</x:v>
      </x:c>
      <x:c r="K274" s="38" t="str">
        <x:v>Albarán 132.664/013 (21/05/2026)</x:v>
      </x:c>
      <x:c r="L274" s="38" t="n">
        <x:v>1</x:v>
      </x:c>
      <x:c r="M274" s="38" t="str">
        <x:v>Unidad</x:v>
      </x:c>
      <x:c r="N274" s="38" t="n">
        <x:v>1</x:v>
      </x:c>
      <x:c r="O274" s="38" t="str">
        <x:v>Unidad</x:v>
      </x:c>
      <x:c r="P274" s="99" t="n">
        <x:v>2.76</x:v>
      </x:c>
      <x:c r="Q274" s="114" t="n">
        <x:v>0</x:v>
      </x:c>
      <x:c r="R274" s="99" t="n">
        <x:v>2.76</x:v>
      </x:c>
      <x:c r="S274" s="99" t="n">
        <x:f>IFERROR(R274/L274,P274*(1-Q274))</x:f>
        <x:v>2.76</x:v>
      </x:c>
      <x:c r="T274" s="114" t="n">
        <x:v>0.07</x:v>
      </x:c>
      <x:c r="U274" s="99" t="n">
        <x:f>S274*(1+T274)</x:f>
        <x:v>2.9532</x:v>
      </x:c>
      <x:c r="V274" s="99" t="n">
        <x:f>S274</x:f>
        <x:v>2.76</x:v>
      </x:c>
      <x:c r="W274" s="99" t="n">
        <x:f>V274-S274</x:f>
        <x:v>0</x:v>
      </x:c>
      <x:c r="X274" s="114" t="n">
        <x:f>IFERROR(W274/V274,0)</x:f>
        <x:v>0</x:v>
      </x:c>
      <x:c r="Y274" s="38" t="str">
        <x:v>Por unidad</x:v>
      </x:c>
      <x:c r="Z274" s="38" t="str">
        <x:f>IF(Y274="Botella / 3 instalaciones","Precio botella / 3",IF(Y274="Por rollo o metros proporcionales","Si se pasa rollo: rollo completo. Si se pasan metros: proporcional",Y274))</x:f>
        <x:v>Por unidad</x:v>
      </x:c>
      <x:c r="AA274" s="38" t="n">
        <x:v>1</x:v>
      </x:c>
      <x:c r="AB274" s="38" t="str"/>
      <x:c r="AC274" s="38" t="str"/>
      <x:c r="AD274" s="116" t="str">
        <x:v>2026-06-30</x:v>
      </x:c>
      <x:c r="AE274" s="38" t="str">
        <x:v>No</x:v>
      </x:c>
      <x:c r="AF274" s="38" t="str"/>
    </x:row>
    <x:row r="275">
      <x:c r="A275" s="38" t="str">
        <x:v>MAT-0274</x:v>
      </x:c>
      <x:c r="B275" s="38" t="str">
        <x:v>Sí</x:v>
      </x:c>
      <x:c r="C275" s="38" t="str">
        <x:v>Sin clasificar</x:v>
      </x:c>
      <x:c r="D275" s="38" t="str"/>
      <x:c r="E275" s="38" t="str">
        <x:v>Curva Rks Gris Ip40 M25</x:v>
      </x:c>
      <x:c r="F275" s="38" t="str">
        <x:v>CURVA RKS GRIS IP40 M25</x:v>
      </x:c>
      <x:c r="G275" s="38" t="str">
        <x:v>GEW-DX40125 / 9401259</x:v>
      </x:c>
      <x:c r="H275" s="38" t="str">
        <x:v>Comercial Eléctrica Canarias, S.A.</x:v>
      </x:c>
      <x:c r="I275" s="38" t="str">
        <x:v>Factura 92240926</x:v>
      </x:c>
      <x:c r="J275" s="115" t="str">
        <x:v>31/05/2026</x:v>
      </x:c>
      <x:c r="K275" s="38" t="str">
        <x:v>Albarán 132.664/013 (21/05/2026)</x:v>
      </x:c>
      <x:c r="L275" s="38" t="n">
        <x:v>2</x:v>
      </x:c>
      <x:c r="M275" s="38" t="str">
        <x:v>m²</x:v>
      </x:c>
      <x:c r="N275" s="38" t="n">
        <x:v>1</x:v>
      </x:c>
      <x:c r="O275" s="38" t="str">
        <x:v>m²</x:v>
      </x:c>
      <x:c r="P275" s="99" t="n">
        <x:v>0.908</x:v>
      </x:c>
      <x:c r="Q275" s="114" t="n">
        <x:v>0</x:v>
      </x:c>
      <x:c r="R275" s="99" t="n">
        <x:v>1.82</x:v>
      </x:c>
      <x:c r="S275" s="99" t="n">
        <x:f>IFERROR(R275/L275,P275*(1-Q275))</x:f>
        <x:v>0.91</x:v>
      </x:c>
      <x:c r="T275" s="114" t="n">
        <x:v>0.03</x:v>
      </x:c>
      <x:c r="U275" s="99" t="n">
        <x:f>S275*(1+T275)</x:f>
        <x:v>0.9373</x:v>
      </x:c>
      <x:c r="V275" s="99" t="n">
        <x:f>S275</x:f>
        <x:v>0.91</x:v>
      </x:c>
      <x:c r="W275" s="99" t="n">
        <x:f>V275-S275</x:f>
        <x:v>0</x:v>
      </x:c>
      <x:c r="X275" s="114" t="n">
        <x:f>IFERROR(W275/V275,0)</x:f>
        <x:v>0</x:v>
      </x:c>
      <x:c r="Y275" s="38" t="str">
        <x:v>Por unidad</x:v>
      </x:c>
      <x:c r="Z275" s="38" t="str">
        <x:f>IF(Y275="Botella / 3 instalaciones","Precio botella / 3",IF(Y275="Por rollo o metros proporcionales","Si se pasa rollo: rollo completo. Si se pasan metros: proporcional",Y275))</x:f>
        <x:v>Por unidad</x:v>
      </x:c>
      <x:c r="AA275" s="38" t="n">
        <x:v>1</x:v>
      </x:c>
      <x:c r="AB275" s="38" t="str"/>
      <x:c r="AC275" s="38" t="str"/>
      <x:c r="AD275" s="116" t="str">
        <x:v>2026-06-30</x:v>
      </x:c>
      <x:c r="AE275" s="38" t="str">
        <x:v>Sí</x:v>
      </x:c>
      <x:c r="AF275" s="38" t="str">
        <x:v>Revisar categoría antes de usar en cálculo automático.</x:v>
      </x:c>
    </x:row>
    <x:row r="276">
      <x:c r="A276" s="38" t="str">
        <x:v>MAT-0275</x:v>
      </x:c>
      <x:c r="B276" s="38" t="str">
        <x:v>Sí</x:v>
      </x:c>
      <x:c r="C276" s="38" t="str">
        <x:v>Electricidad</x:v>
      </x:c>
      <x:c r="D276" s="38" t="str">
        <x:v>Cable eléctrico</x:v>
      </x:c>
      <x:c r="E276" s="38" t="str">
        <x:v>Cable Utp Cat6 Dca Uc400 Azul</x:v>
      </x:c>
      <x:c r="F276" s="38" t="str">
        <x:v>CABLE UTP CAT6 Dca UC400 AZUL</x:v>
      </x:c>
      <x:c r="G276" s="38" t="str">
        <x:v>60115173 / 29822</x:v>
      </x:c>
      <x:c r="H276" s="38" t="str">
        <x:v>Comercial Eléctrica Canarias, S.A.</x:v>
      </x:c>
      <x:c r="I276" s="38" t="str">
        <x:v>Factura 92240926</x:v>
      </x:c>
      <x:c r="J276" s="115" t="str">
        <x:v>31/05/2026</x:v>
      </x:c>
      <x:c r="K276" s="38" t="str">
        <x:v>Albarán 132.664/013 (21/05/2026)</x:v>
      </x:c>
      <x:c r="L276" s="38" t="n">
        <x:v>305</x:v>
      </x:c>
      <x:c r="M276" s="38" t="str">
        <x:v>Metro</x:v>
      </x:c>
      <x:c r="N276" s="38" t="n">
        <x:v>1</x:v>
      </x:c>
      <x:c r="O276" s="38" t="str">
        <x:v>Metro</x:v>
      </x:c>
      <x:c r="P276" s="99" t="n">
        <x:v>0.36</x:v>
      </x:c>
      <x:c r="Q276" s="114" t="n">
        <x:v>0</x:v>
      </x:c>
      <x:c r="R276" s="99" t="n">
        <x:v>109.8</x:v>
      </x:c>
      <x:c r="S276" s="99" t="n">
        <x:f>IFERROR(R276/L276,P276*(1-Q276))</x:f>
        <x:v>0.36</x:v>
      </x:c>
      <x:c r="T276" s="114" t="n">
        <x:v>0.07</x:v>
      </x:c>
      <x:c r="U276" s="99" t="n">
        <x:f>S276*(1+T276)</x:f>
        <x:v>0.3852</x:v>
      </x:c>
      <x:c r="V276" s="99" t="n">
        <x:f>S276</x:f>
        <x:v>0.36</x:v>
      </x:c>
      <x:c r="W276" s="99" t="n">
        <x:f>V276-S276</x:f>
        <x:v>0</x:v>
      </x:c>
      <x:c r="X276" s="114" t="n">
        <x:f>IFERROR(W276/V276,0)</x:f>
        <x:v>0</x:v>
      </x:c>
      <x:c r="Y276" s="38" t="str">
        <x:v>Por metros</x:v>
      </x:c>
      <x:c r="Z276" s="38" t="str">
        <x:f>IF(Y276="Botella / 3 instalaciones","Precio botella / 3",IF(Y276="Por rollo o metros proporcionales","Si se pasa rollo: rollo completo. Si se pasan metros: proporcional",Y276))</x:f>
        <x:v>Por metros</x:v>
      </x:c>
      <x:c r="AA276" s="38" t="n">
        <x:v>1</x:v>
      </x:c>
      <x:c r="AB276" s="38" t="str"/>
      <x:c r="AC276" s="38" t="str"/>
      <x:c r="AD276" s="116" t="str">
        <x:v>2026-06-30</x:v>
      </x:c>
      <x:c r="AE276" s="38" t="str">
        <x:v>No</x:v>
      </x:c>
      <x:c r="AF276" s="38" t="str"/>
    </x:row>
    <x:row r="277">
      <x:c r="A277" s="38" t="str">
        <x:v>MAT-0276</x:v>
      </x:c>
      <x:c r="B277" s="38" t="str">
        <x:v>Sí</x:v>
      </x:c>
      <x:c r="C277" s="38" t="str">
        <x:v>Electricidad</x:v>
      </x:c>
      <x:c r="D277" s="38" t="str">
        <x:v>Cable eléctrico</x:v>
      </x:c>
      <x:c r="E277" s="38" t="str">
        <x:v>Cable Rz1-K Cpr 3G2.5 Rollo</x:v>
      </x:c>
      <x:c r="F277" s="38" t="str">
        <x:v>CABLE RZ1-K CPR 3G2.5 ROLLO</x:v>
      </x:c>
      <x:c r="G277" s="38" t="str">
        <x:v>CABLE / 5551477</x:v>
      </x:c>
      <x:c r="H277" s="38" t="str">
        <x:v>Comercial Eléctrica Canarias, S.A.</x:v>
      </x:c>
      <x:c r="I277" s="38" t="str">
        <x:v>Factura 92240926</x:v>
      </x:c>
      <x:c r="J277" s="115" t="str">
        <x:v>31/05/2026</x:v>
      </x:c>
      <x:c r="K277" s="38" t="str">
        <x:v>Albarán 132.706/013 (25/05/2026)</x:v>
      </x:c>
      <x:c r="L277" s="38" t="n">
        <x:v>100</x:v>
      </x:c>
      <x:c r="M277" s="38" t="str">
        <x:v>Unidad</x:v>
      </x:c>
      <x:c r="N277" s="38" t="n">
        <x:v>1</x:v>
      </x:c>
      <x:c r="O277" s="38" t="str">
        <x:v>Unidad</x:v>
      </x:c>
      <x:c r="P277" s="99" t="n">
        <x:v>1.476</x:v>
      </x:c>
      <x:c r="Q277" s="114" t="n">
        <x:v>0</x:v>
      </x:c>
      <x:c r="R277" s="99" t="n">
        <x:v>147.6</x:v>
      </x:c>
      <x:c r="S277" s="99" t="n">
        <x:f>IFERROR(R277/L277,P277*(1-Q277))</x:f>
        <x:v>1.476</x:v>
      </x:c>
      <x:c r="T277" s="114" t="n">
        <x:v>0.07</x:v>
      </x:c>
      <x:c r="U277" s="99" t="n">
        <x:f>S277*(1+T277)</x:f>
        <x:v>1.57932</x:v>
      </x:c>
      <x:c r="V277" s="99" t="n">
        <x:f>S277</x:f>
        <x:v>1.476</x:v>
      </x:c>
      <x:c r="W277" s="99" t="n">
        <x:f>V277-S277</x:f>
        <x:v>0</x:v>
      </x:c>
      <x:c r="X277" s="114" t="n">
        <x:f>IFERROR(W277/V277,0)</x:f>
        <x:v>0</x:v>
      </x:c>
      <x:c r="Y277" s="38" t="str">
        <x:v>Por unidad</x:v>
      </x:c>
      <x:c r="Z277" s="38" t="str">
        <x:f>IF(Y277="Botella / 3 instalaciones","Precio botella / 3",IF(Y277="Por rollo o metros proporcionales","Si se pasa rollo: rollo completo. Si se pasan metros: proporcional",Y277))</x:f>
        <x:v>Por unidad</x:v>
      </x:c>
      <x:c r="AA277" s="38" t="n">
        <x:v>1</x:v>
      </x:c>
      <x:c r="AB277" s="38" t="str"/>
      <x:c r="AC277" s="38" t="str"/>
      <x:c r="AD277" s="116" t="str">
        <x:v>2026-06-30</x:v>
      </x:c>
      <x:c r="AE277" s="38" t="str">
        <x:v>No</x:v>
      </x:c>
      <x:c r="AF277" s="38" t="str"/>
    </x:row>
    <x:row r="278">
      <x:c r="A278" s="38" t="str">
        <x:v>MAT-0277</x:v>
      </x:c>
      <x:c r="B278" s="38" t="str">
        <x:v>Sí</x:v>
      </x:c>
      <x:c r="C278" s="38" t="str">
        <x:v>Electricidad</x:v>
      </x:c>
      <x:c r="D278" s="38" t="str">
        <x:v>Cable eléctrico</x:v>
      </x:c>
      <x:c r="E278" s="38" t="str">
        <x:v>Gel Introducir Cables 500Cc</x:v>
      </x:c>
      <x:c r="F278" s="38" t="str">
        <x:v>GEL INTRODUCIR CABLES 500cc</x:v>
      </x:c>
      <x:c r="G278" s="38" t="str">
        <x:v>EST-46015000 / 7402</x:v>
      </x:c>
      <x:c r="H278" s="38" t="str">
        <x:v>Comercial Eléctrica Canarias, S.A.</x:v>
      </x:c>
      <x:c r="I278" s="38" t="str">
        <x:v>Factura 92240926</x:v>
      </x:c>
      <x:c r="J278" s="115" t="str">
        <x:v>31/05/2026</x:v>
      </x:c>
      <x:c r="K278" s="38" t="str">
        <x:v>Albarán 132.706/013 (25/05/2026)</x:v>
      </x:c>
      <x:c r="L278" s="38" t="n">
        <x:v>1</x:v>
      </x:c>
      <x:c r="M278" s="38" t="str">
        <x:v>Metro</x:v>
      </x:c>
      <x:c r="N278" s="38" t="n">
        <x:v>1</x:v>
      </x:c>
      <x:c r="O278" s="38" t="str">
        <x:v>Metro</x:v>
      </x:c>
      <x:c r="P278" s="99" t="n">
        <x:v>6.321</x:v>
      </x:c>
      <x:c r="Q278" s="114" t="n">
        <x:v>0</x:v>
      </x:c>
      <x:c r="R278" s="99" t="n">
        <x:v>6.32</x:v>
      </x:c>
      <x:c r="S278" s="99" t="n">
        <x:f>IFERROR(R278/L278,P278*(1-Q278))</x:f>
        <x:v>6.32</x:v>
      </x:c>
      <x:c r="T278" s="114" t="n">
        <x:v>0.03</x:v>
      </x:c>
      <x:c r="U278" s="99" t="n">
        <x:f>S278*(1+T278)</x:f>
        <x:v>6.509600000000001</x:v>
      </x:c>
      <x:c r="V278" s="99" t="n">
        <x:f>S278</x:f>
        <x:v>6.32</x:v>
      </x:c>
      <x:c r="W278" s="99" t="n">
        <x:f>V278-S278</x:f>
        <x:v>0</x:v>
      </x:c>
      <x:c r="X278" s="114" t="n">
        <x:f>IFERROR(W278/V278,0)</x:f>
        <x:v>0</x:v>
      </x:c>
      <x:c r="Y278" s="38" t="str">
        <x:v>Por metros</x:v>
      </x:c>
      <x:c r="Z278" s="38" t="str">
        <x:f>IF(Y278="Botella / 3 instalaciones","Precio botella / 3",IF(Y278="Por rollo o metros proporcionales","Si se pasa rollo: rollo completo. Si se pasan metros: proporcional",Y278))</x:f>
        <x:v>Por metros</x:v>
      </x:c>
      <x:c r="AA278" s="38" t="n">
        <x:v>1</x:v>
      </x:c>
      <x:c r="AB278" s="38" t="str"/>
      <x:c r="AC278" s="38" t="str"/>
      <x:c r="AD278" s="116" t="str">
        <x:v>2026-06-30</x:v>
      </x:c>
      <x:c r="AE278" s="38" t="str">
        <x:v>No</x:v>
      </x:c>
      <x:c r="AF278" s="38" t="str"/>
    </x:row>
    <x:row r="279">
      <x:c r="A279" s="38" t="str">
        <x:v>MAT-0278</x:v>
      </x:c>
      <x:c r="B279" s="38" t="str">
        <x:v>Sí</x:v>
      </x:c>
      <x:c r="C279" s="38" t="str">
        <x:v>Sin clasificar</x:v>
      </x:c>
      <x:c r="D279" s="38" t="str"/>
      <x:c r="E279" s="38" t="str">
        <x:v>Caja Deriv.100X100X50 Ip55</x:v>
      </x:c>
      <x:c r="F279" s="38" t="str">
        <x:v>CAJA DERIV.100x100x50 IP55</x:v>
      </x:c>
      <x:c r="G279" s="38" t="str">
        <x:v>GEW-GW44024 / 944024</x:v>
      </x:c>
      <x:c r="H279" s="38" t="str">
        <x:v>Comercial Eléctrica Canarias, S.A.</x:v>
      </x:c>
      <x:c r="I279" s="38" t="str">
        <x:v>Factura 92240926</x:v>
      </x:c>
      <x:c r="J279" s="115" t="str">
        <x:v>31/05/2026</x:v>
      </x:c>
      <x:c r="K279" s="38" t="str">
        <x:v>Albarán 132.706/013 (25/05/2026)</x:v>
      </x:c>
      <x:c r="L279" s="38" t="n">
        <x:v>3</x:v>
      </x:c>
      <x:c r="M279" s="38" t="str">
        <x:v>Unidad</x:v>
      </x:c>
      <x:c r="N279" s="38" t="n">
        <x:v>1</x:v>
      </x:c>
      <x:c r="O279" s="38" t="str">
        <x:v>Unidad</x:v>
      </x:c>
      <x:c r="P279" s="99" t="n">
        <x:v>1.584</x:v>
      </x:c>
      <x:c r="Q279" s="114" t="n">
        <x:v>0</x:v>
      </x:c>
      <x:c r="R279" s="99" t="n">
        <x:v>4.75</x:v>
      </x:c>
      <x:c r="S279" s="99" t="n">
        <x:f>IFERROR(R279/L279,P279*(1-Q279))</x:f>
        <x:v>1.5833333333333333</x:v>
      </x:c>
      <x:c r="T279" s="114" t="n">
        <x:v>0.07</x:v>
      </x:c>
      <x:c r="U279" s="99" t="n">
        <x:f>S279*(1+T279)</x:f>
        <x:v>1.6941666666666666</x:v>
      </x:c>
      <x:c r="V279" s="99" t="n">
        <x:f>S279</x:f>
        <x:v>1.5833333333333333</x:v>
      </x:c>
      <x:c r="W279" s="99" t="n">
        <x:f>V279-S279</x:f>
        <x:v>0</x:v>
      </x:c>
      <x:c r="X279" s="114" t="n">
        <x:f>IFERROR(W279/V279,0)</x:f>
        <x:v>0</x:v>
      </x:c>
      <x:c r="Y279" s="38" t="str">
        <x:v>Por unidad</x:v>
      </x:c>
      <x:c r="Z279" s="38" t="str">
        <x:f>IF(Y279="Botella / 3 instalaciones","Precio botella / 3",IF(Y279="Por rollo o metros proporcionales","Si se pasa rollo: rollo completo. Si se pasan metros: proporcional",Y279))</x:f>
        <x:v>Por unidad</x:v>
      </x:c>
      <x:c r="AA279" s="38" t="n">
        <x:v>1</x:v>
      </x:c>
      <x:c r="AB279" s="38" t="str"/>
      <x:c r="AC279" s="38" t="str"/>
      <x:c r="AD279" s="116" t="str">
        <x:v>2026-06-30</x:v>
      </x:c>
      <x:c r="AE279" s="38" t="str">
        <x:v>Sí</x:v>
      </x:c>
      <x:c r="AF279" s="38" t="str">
        <x:v>Revisar categoría antes de usar en cálculo automático.</x:v>
      </x:c>
    </x:row>
    <x:row r="280">
      <x:c r="A280" s="38" t="str">
        <x:v>MAT-0279</x:v>
      </x:c>
      <x:c r="B280" s="38" t="str">
        <x:v>Sí</x:v>
      </x:c>
      <x:c r="C280" s="38" t="str">
        <x:v>Sin clasificar</x:v>
      </x:c>
      <x:c r="D280" s="38" t="str"/>
      <x:c r="E280" s="38" t="str">
        <x:v>Dpn 1Mod. 1P+N 16A C 6Ka</x:v>
      </x:c>
      <x:c r="F280" s="38" t="str">
        <x:v>DPN 1MOD. 1P+N 16A C 6KA</x:v>
      </x:c>
      <x:c r="G280" s="38" t="str">
        <x:v>D1L0110823 / 202376</x:v>
      </x:c>
      <x:c r="H280" s="38" t="str">
        <x:v>Comercial Eléctrica Canarias, S.A.</x:v>
      </x:c>
      <x:c r="I280" s="38" t="str">
        <x:v>Factura 92240926</x:v>
      </x:c>
      <x:c r="J280" s="115" t="str">
        <x:v>31/05/2026</x:v>
      </x:c>
      <x:c r="K280" s="38" t="str">
        <x:v>Albarán 132.706/013 (25/05/2026)</x:v>
      </x:c>
      <x:c r="L280" s="38" t="n">
        <x:v>4</x:v>
      </x:c>
      <x:c r="M280" s="38" t="str">
        <x:v>Unidad</x:v>
      </x:c>
      <x:c r="N280" s="38" t="n">
        <x:v>1</x:v>
      </x:c>
      <x:c r="O280" s="38" t="str">
        <x:v>Unidad</x:v>
      </x:c>
      <x:c r="P280" s="99" t="n">
        <x:v>6.84</x:v>
      </x:c>
      <x:c r="Q280" s="114" t="n">
        <x:v>0</x:v>
      </x:c>
      <x:c r="R280" s="99" t="n">
        <x:v>27.36</x:v>
      </x:c>
      <x:c r="S280" s="99" t="n">
        <x:f>IFERROR(R280/L280,P280*(1-Q280))</x:f>
        <x:v>6.84</x:v>
      </x:c>
      <x:c r="T280" s="114" t="n">
        <x:v>0.07</x:v>
      </x:c>
      <x:c r="U280" s="99" t="n">
        <x:f>S280*(1+T280)</x:f>
        <x:v>7.3188</x:v>
      </x:c>
      <x:c r="V280" s="99" t="n">
        <x:f>S280</x:f>
        <x:v>6.84</x:v>
      </x:c>
      <x:c r="W280" s="99" t="n">
        <x:f>V280-S280</x:f>
        <x:v>0</x:v>
      </x:c>
      <x:c r="X280" s="114" t="n">
        <x:f>IFERROR(W280/V280,0)</x:f>
        <x:v>0</x:v>
      </x:c>
      <x:c r="Y280" s="38" t="str">
        <x:v>Por unidad</x:v>
      </x:c>
      <x:c r="Z280" s="38" t="str">
        <x:f>IF(Y280="Botella / 3 instalaciones","Precio botella / 3",IF(Y280="Por rollo o metros proporcionales","Si se pasa rollo: rollo completo. Si se pasan metros: proporcional",Y280))</x:f>
        <x:v>Por unidad</x:v>
      </x:c>
      <x:c r="AA280" s="38" t="n">
        <x:v>1</x:v>
      </x:c>
      <x:c r="AB280" s="38" t="str"/>
      <x:c r="AC280" s="38" t="str"/>
      <x:c r="AD280" s="116" t="str">
        <x:v>2026-06-30</x:v>
      </x:c>
      <x:c r="AE280" s="38" t="str">
        <x:v>Sí</x:v>
      </x:c>
      <x:c r="AF280" s="38" t="str">
        <x:v>Revisar categoría antes de usar en cálculo automático.</x:v>
      </x:c>
    </x:row>
    <x:row r="281">
      <x:c r="A281" s="38" t="str">
        <x:v>MAT-0280</x:v>
      </x:c>
      <x:c r="B281" s="38" t="str">
        <x:v>Sí</x:v>
      </x:c>
      <x:c r="C281" s="38" t="str">
        <x:v>Electricidad</x:v>
      </x:c>
      <x:c r="D281" s="38" t="str">
        <x:v>Protección/cuadro</x:v>
      </x:c>
      <x:c r="E281" s="38" t="str">
        <x:v>Automatico 1P+N 16A 6Ka C</x:v>
      </x:c>
      <x:c r="F281" s="38" t="str">
        <x:v>AUTOMATICO 1P+N 16A 6kA C</x:v>
      </x:c>
      <x:c r="G281" s="38" t="str">
        <x:v>SCH-A9K17616CAN / 10017616</x:v>
      </x:c>
      <x:c r="H281" s="38" t="str">
        <x:v>Comercial Eléctrica Canarias, S.A.</x:v>
      </x:c>
      <x:c r="I281" s="38" t="str">
        <x:v>Factura 92240926</x:v>
      </x:c>
      <x:c r="J281" s="115" t="str">
        <x:v>31/05/2026</x:v>
      </x:c>
      <x:c r="K281" s="38" t="str">
        <x:v>Albarán 132.706/013 (25/05/2026)</x:v>
      </x:c>
      <x:c r="L281" s="38" t="n">
        <x:v>1</x:v>
      </x:c>
      <x:c r="M281" s="38" t="str">
        <x:v>Unidad</x:v>
      </x:c>
      <x:c r="N281" s="38" t="n">
        <x:v>1</x:v>
      </x:c>
      <x:c r="O281" s="38" t="str">
        <x:v>Unidad</x:v>
      </x:c>
      <x:c r="P281" s="99" t="n">
        <x:v>4.513</x:v>
      </x:c>
      <x:c r="Q281" s="114" t="n">
        <x:v>0</x:v>
      </x:c>
      <x:c r="R281" s="99" t="n">
        <x:v>4.51</x:v>
      </x:c>
      <x:c r="S281" s="99" t="n">
        <x:f>IFERROR(R281/L281,P281*(1-Q281))</x:f>
        <x:v>4.51</x:v>
      </x:c>
      <x:c r="T281" s="114" t="n">
        <x:v>0.07</x:v>
      </x:c>
      <x:c r="U281" s="99" t="n">
        <x:f>S281*(1+T281)</x:f>
        <x:v>4.8257</x:v>
      </x:c>
      <x:c r="V281" s="99" t="n">
        <x:f>S281</x:f>
        <x:v>4.51</x:v>
      </x:c>
      <x:c r="W281" s="99" t="n">
        <x:f>V281-S281</x:f>
        <x:v>0</x:v>
      </x:c>
      <x:c r="X281" s="114" t="n">
        <x:f>IFERROR(W281/V281,0)</x:f>
        <x:v>0</x:v>
      </x:c>
      <x:c r="Y281" s="38" t="str">
        <x:v>Por unidad</x:v>
      </x:c>
      <x:c r="Z281" s="38" t="str">
        <x:f>IF(Y281="Botella / 3 instalaciones","Precio botella / 3",IF(Y281="Por rollo o metros proporcionales","Si se pasa rollo: rollo completo. Si se pasan metros: proporcional",Y281))</x:f>
        <x:v>Por unidad</x:v>
      </x:c>
      <x:c r="AA281" s="38" t="n">
        <x:v>1</x:v>
      </x:c>
      <x:c r="AB281" s="38" t="str"/>
      <x:c r="AC281" s="38" t="str"/>
      <x:c r="AD281" s="116" t="str">
        <x:v>2026-06-30</x:v>
      </x:c>
      <x:c r="AE281" s="38" t="str">
        <x:v>No</x:v>
      </x:c>
      <x:c r="AF281" s="38" t="str"/>
    </x:row>
    <x:row r="282">
      <x:c r="A282" s="38" t="str">
        <x:v>MAT-0281</x:v>
      </x:c>
      <x:c r="B282" s="38" t="str">
        <x:v>Sí</x:v>
      </x:c>
      <x:c r="C282" s="38" t="str">
        <x:v>Sin clasificar</x:v>
      </x:c>
      <x:c r="D282" s="38" t="str"/>
      <x:c r="E282" s="38" t="str">
        <x:v>Mochila Fatmax 36X46X27</x:v>
      </x:c>
      <x:c r="F282" s="38" t="str">
        <x:v>MOCHILA FATMAX 36x46x27</x:v>
      </x:c>
      <x:c r="G282" s="38" t="str">
        <x:v>ABK-1-95-611 / 19895424</x:v>
      </x:c>
      <x:c r="H282" s="38" t="str">
        <x:v>Comercial Eléctrica Canarias, S.A.</x:v>
      </x:c>
      <x:c r="I282" s="38" t="str">
        <x:v>Factura 92240926</x:v>
      </x:c>
      <x:c r="J282" s="115" t="str">
        <x:v>31/05/2026</x:v>
      </x:c>
      <x:c r="K282" s="38" t="str">
        <x:v>Albarán 132.815/013 (28/05/2026)</x:v>
      </x:c>
      <x:c r="L282" s="38" t="n">
        <x:v>1</x:v>
      </x:c>
      <x:c r="M282" s="38" t="str">
        <x:v>Unidad</x:v>
      </x:c>
      <x:c r="N282" s="38" t="n">
        <x:v>1</x:v>
      </x:c>
      <x:c r="O282" s="38" t="str">
        <x:v>Unidad</x:v>
      </x:c>
      <x:c r="P282" s="99" t="n">
        <x:v>62</x:v>
      </x:c>
      <x:c r="Q282" s="114" t="n">
        <x:v>0</x:v>
      </x:c>
      <x:c r="R282" s="99" t="n">
        <x:v>62</x:v>
      </x:c>
      <x:c r="S282" s="99" t="n">
        <x:f>IFERROR(R282/L282,P282*(1-Q282))</x:f>
        <x:v>62</x:v>
      </x:c>
      <x:c r="T282" s="114" t="n">
        <x:v>0.03</x:v>
      </x:c>
      <x:c r="U282" s="99" t="n">
        <x:f>S282*(1+T282)</x:f>
        <x:v>63.86</x:v>
      </x:c>
      <x:c r="V282" s="99" t="n">
        <x:f>S282</x:f>
        <x:v>62</x:v>
      </x:c>
      <x:c r="W282" s="99" t="n">
        <x:f>V282-S282</x:f>
        <x:v>0</x:v>
      </x:c>
      <x:c r="X282" s="114" t="n">
        <x:f>IFERROR(W282/V282,0)</x:f>
        <x:v>0</x:v>
      </x:c>
      <x:c r="Y282" s="38" t="str">
        <x:v>Por unidad</x:v>
      </x:c>
      <x:c r="Z282" s="38" t="str">
        <x:f>IF(Y282="Botella / 3 instalaciones","Precio botella / 3",IF(Y282="Por rollo o metros proporcionales","Si se pasa rollo: rollo completo. Si se pasan metros: proporcional",Y282))</x:f>
        <x:v>Por unidad</x:v>
      </x:c>
      <x:c r="AA282" s="38" t="n">
        <x:v>1</x:v>
      </x:c>
      <x:c r="AB282" s="38" t="str"/>
      <x:c r="AC282" s="38" t="str"/>
      <x:c r="AD282" s="116" t="str">
        <x:v>2026-06-30</x:v>
      </x:c>
      <x:c r="AE282" s="38" t="str">
        <x:v>Sí</x:v>
      </x:c>
      <x:c r="AF282" s="38" t="str">
        <x:v>Revisar categoría antes de usar en cálculo automático.</x:v>
      </x:c>
    </x:row>
    <x:row r="283">
      <x:c r="A283" s="38" t="str">
        <x:v>MAT-0282</x:v>
      </x:c>
      <x:c r="B283" s="38" t="str">
        <x:v>Sí</x:v>
      </x:c>
      <x:c r="C283" s="38" t="str">
        <x:v>Sin clasificar</x:v>
      </x:c>
      <x:c r="D283" s="38" t="str"/>
      <x:c r="E283" s="38" t="str">
        <x:v>Placa Compact Ciega 4M Blanco</x:v>
      </x:c>
      <x:c r="F283" s="38" t="str">
        <x:v>PLACA COMPACT CIEGA 4M BLANCO</x:v>
      </x:c>
      <x:c r="G283" s="38" t="str">
        <x:v>GEW-GW24213 / 924213</x:v>
      </x:c>
      <x:c r="H283" s="38" t="str">
        <x:v>Comercial Eléctrica Canarias, S.A.</x:v>
      </x:c>
      <x:c r="I283" s="38" t="str">
        <x:v>Factura 91961426</x:v>
      </x:c>
      <x:c r="J283" s="115" t="str">
        <x:v>15/05/2026</x:v>
      </x:c>
      <x:c r="K283" s="38" t="str">
        <x:v>Albarán 132.392/013 (08/05/2026)</x:v>
      </x:c>
      <x:c r="L283" s="38" t="n">
        <x:v>-2</x:v>
      </x:c>
      <x:c r="M283" s="38" t="str">
        <x:v>Unidad</x:v>
      </x:c>
      <x:c r="N283" s="38" t="n">
        <x:v>1</x:v>
      </x:c>
      <x:c r="O283" s="38" t="str">
        <x:v>Unidad</x:v>
      </x:c>
      <x:c r="P283" s="99" t="n">
        <x:v>5.009</x:v>
      </x:c>
      <x:c r="Q283" s="114" t="n">
        <x:v>0</x:v>
      </x:c>
      <x:c r="R283" s="99" t="n">
        <x:v>-10.02</x:v>
      </x:c>
      <x:c r="S283" s="99" t="n">
        <x:f>IFERROR(R283/L283,P283*(1-Q283))</x:f>
        <x:v>5.01</x:v>
      </x:c>
      <x:c r="T283" s="114" t="n">
        <x:v>0.07</x:v>
      </x:c>
      <x:c r="U283" s="99" t="n">
        <x:f>S283*(1+T283)</x:f>
        <x:v>5.3607000000000005</x:v>
      </x:c>
      <x:c r="V283" s="99" t="n">
        <x:f>S283</x:f>
        <x:v>5.01</x:v>
      </x:c>
      <x:c r="W283" s="99" t="n">
        <x:f>V283-S283</x:f>
        <x:v>0</x:v>
      </x:c>
      <x:c r="X283" s="114" t="n">
        <x:f>IFERROR(W283/V283,0)</x:f>
        <x:v>0</x:v>
      </x:c>
      <x:c r="Y283" s="38" t="str">
        <x:v>Por unidad</x:v>
      </x:c>
      <x:c r="Z283" s="38" t="str">
        <x:f>IF(Y283="Botella / 3 instalaciones","Precio botella / 3",IF(Y283="Por rollo o metros proporcionales","Si se pasa rollo: rollo completo. Si se pasan metros: proporcional",Y283))</x:f>
        <x:v>Por unidad</x:v>
      </x:c>
      <x:c r="AA283" s="38" t="n">
        <x:v>1</x:v>
      </x:c>
      <x:c r="AB283" s="38" t="str"/>
      <x:c r="AC283" s="38" t="str"/>
      <x:c r="AD283" s="116" t="str">
        <x:v>2026-06-30</x:v>
      </x:c>
      <x:c r="AE283" s="38" t="str">
        <x:v>Sí</x:v>
      </x:c>
      <x:c r="AF283" s="38" t="str">
        <x:v>Revisar categoría antes de usar en cálculo automático.</x:v>
      </x:c>
    </x:row>
    <x:row r="284">
      <x:c r="A284" s="38" t="str">
        <x:v>MAT-0283</x:v>
      </x:c>
      <x:c r="B284" s="38" t="str">
        <x:v>Sí</x:v>
      </x:c>
      <x:c r="C284" s="38" t="str">
        <x:v>Sin clasificar</x:v>
      </x:c>
      <x:c r="D284" s="38" t="str"/>
      <x:c r="E284" s="38" t="str">
        <x:v>Placa One Univ.2H Blanco Tb</x:v>
      </x:c>
      <x:c r="F284" s="38" t="str">
        <x:v>PLACA ONE UNIV.2H BLANCO TB</x:v>
      </x:c>
      <x:c r="G284" s="38" t="str">
        <x:v>GEW-GW16122TB / 91612200</x:v>
      </x:c>
      <x:c r="H284" s="38" t="str">
        <x:v>Comercial Eléctrica Canarias, S.A.</x:v>
      </x:c>
      <x:c r="I284" s="38" t="str">
        <x:v>Factura 91961426</x:v>
      </x:c>
      <x:c r="J284" s="115" t="str">
        <x:v>15/05/2026</x:v>
      </x:c>
      <x:c r="K284" s="38" t="str">
        <x:v>Albarán 132.392/013 (08/05/2026)</x:v>
      </x:c>
      <x:c r="L284" s="38" t="n">
        <x:v>-11</x:v>
      </x:c>
      <x:c r="M284" s="38" t="str">
        <x:v>Unidad</x:v>
      </x:c>
      <x:c r="N284" s="38" t="n">
        <x:v>1</x:v>
      </x:c>
      <x:c r="O284" s="38" t="str">
        <x:v>Unidad</x:v>
      </x:c>
      <x:c r="P284" s="99" t="n">
        <x:v>1.107</x:v>
      </x:c>
      <x:c r="Q284" s="114" t="n">
        <x:v>0</x:v>
      </x:c>
      <x:c r="R284" s="99" t="n">
        <x:v>-12.18</x:v>
      </x:c>
      <x:c r="S284" s="99" t="n">
        <x:f>IFERROR(R284/L284,P284*(1-Q284))</x:f>
        <x:v>1.1072727272727272</x:v>
      </x:c>
      <x:c r="T284" s="114" t="n">
        <x:v>0.07</x:v>
      </x:c>
      <x:c r="U284" s="99" t="n">
        <x:f>S284*(1+T284)</x:f>
        <x:v>1.1847818181818182</x:v>
      </x:c>
      <x:c r="V284" s="99" t="n">
        <x:f>S284</x:f>
        <x:v>1.1072727272727272</x:v>
      </x:c>
      <x:c r="W284" s="99" t="n">
        <x:f>V284-S284</x:f>
        <x:v>0</x:v>
      </x:c>
      <x:c r="X284" s="114" t="n">
        <x:f>IFERROR(W284/V284,0)</x:f>
        <x:v>0</x:v>
      </x:c>
      <x:c r="Y284" s="38" t="str">
        <x:v>Por unidad</x:v>
      </x:c>
      <x:c r="Z284" s="38" t="str">
        <x:f>IF(Y284="Botella / 3 instalaciones","Precio botella / 3",IF(Y284="Por rollo o metros proporcionales","Si se pasa rollo: rollo completo. Si se pasan metros: proporcional",Y284))</x:f>
        <x:v>Por unidad</x:v>
      </x:c>
      <x:c r="AA284" s="38" t="n">
        <x:v>1</x:v>
      </x:c>
      <x:c r="AB284" s="38" t="str"/>
      <x:c r="AC284" s="38" t="str"/>
      <x:c r="AD284" s="116" t="str">
        <x:v>2026-06-30</x:v>
      </x:c>
      <x:c r="AE284" s="38" t="str">
        <x:v>Sí</x:v>
      </x:c>
      <x:c r="AF284" s="38" t="str">
        <x:v>Revisar categoría antes de usar en cálculo automático.</x:v>
      </x:c>
    </x:row>
    <x:row r="285">
      <x:c r="A285" s="38" t="str">
        <x:v>MAT-0284</x:v>
      </x:c>
      <x:c r="B285" s="38" t="str">
        <x:v>Sí</x:v>
      </x:c>
      <x:c r="C285" s="38" t="str">
        <x:v>Sin clasificar</x:v>
      </x:c>
      <x:c r="D285" s="38" t="str"/>
      <x:c r="E285" s="38" t="str">
        <x:v>Placa One Uni.2+2H H Blanco Tb</x:v>
      </x:c>
      <x:c r="F285" s="38" t="str">
        <x:v>PLACA ONE UNI.2+2H H BLANCO TB</x:v>
      </x:c>
      <x:c r="G285" s="38" t="str">
        <x:v>GEW-GW16123TB / 91612300</x:v>
      </x:c>
      <x:c r="H285" s="38" t="str">
        <x:v>Comercial Eléctrica Canarias, S.A.</x:v>
      </x:c>
      <x:c r="I285" s="38" t="str">
        <x:v>Factura 91961426</x:v>
      </x:c>
      <x:c r="J285" s="115" t="str">
        <x:v>15/05/2026</x:v>
      </x:c>
      <x:c r="K285" s="38" t="str">
        <x:v>Albarán 132.392/013 (08/05/2026)</x:v>
      </x:c>
      <x:c r="L285" s="38" t="n">
        <x:v>-4</x:v>
      </x:c>
      <x:c r="M285" s="38" t="str">
        <x:v>Unidad</x:v>
      </x:c>
      <x:c r="N285" s="38" t="n">
        <x:v>1</x:v>
      </x:c>
      <x:c r="O285" s="38" t="str">
        <x:v>Unidad</x:v>
      </x:c>
      <x:c r="P285" s="99" t="n">
        <x:v>1.946</x:v>
      </x:c>
      <x:c r="Q285" s="114" t="n">
        <x:v>0</x:v>
      </x:c>
      <x:c r="R285" s="99" t="n">
        <x:v>-7.78</x:v>
      </x:c>
      <x:c r="S285" s="99" t="n">
        <x:f>IFERROR(R285/L285,P285*(1-Q285))</x:f>
        <x:v>1.945</x:v>
      </x:c>
      <x:c r="T285" s="114" t="n">
        <x:v>0.07</x:v>
      </x:c>
      <x:c r="U285" s="99" t="n">
        <x:f>S285*(1+T285)</x:f>
        <x:v>2.08115</x:v>
      </x:c>
      <x:c r="V285" s="99" t="n">
        <x:f>S285</x:f>
        <x:v>1.945</x:v>
      </x:c>
      <x:c r="W285" s="99" t="n">
        <x:f>V285-S285</x:f>
        <x:v>0</x:v>
      </x:c>
      <x:c r="X285" s="114" t="n">
        <x:f>IFERROR(W285/V285,0)</x:f>
        <x:v>0</x:v>
      </x:c>
      <x:c r="Y285" s="38" t="str">
        <x:v>Por unidad</x:v>
      </x:c>
      <x:c r="Z285" s="38" t="str">
        <x:f>IF(Y285="Botella / 3 instalaciones","Precio botella / 3",IF(Y285="Por rollo o metros proporcionales","Si se pasa rollo: rollo completo. Si se pasan metros: proporcional",Y285))</x:f>
        <x:v>Por unidad</x:v>
      </x:c>
      <x:c r="AA285" s="38" t="n">
        <x:v>1</x:v>
      </x:c>
      <x:c r="AB285" s="38" t="str"/>
      <x:c r="AC285" s="38" t="str"/>
      <x:c r="AD285" s="116" t="str">
        <x:v>2026-06-30</x:v>
      </x:c>
      <x:c r="AE285" s="38" t="str">
        <x:v>Sí</x:v>
      </x:c>
      <x:c r="AF285" s="38" t="str">
        <x:v>Revisar categoría antes de usar en cálculo automático.</x:v>
      </x:c>
    </x:row>
    <x:row r="286">
      <x:c r="A286" s="38" t="str">
        <x:v>MAT-0285</x:v>
      </x:c>
      <x:c r="B286" s="38" t="str">
        <x:v>Sí</x:v>
      </x:c>
      <x:c r="C286" s="38" t="str">
        <x:v>Pequeño material</x:v>
      </x:c>
      <x:c r="D286" s="38" t="str">
        <x:v>Consumible</x:v>
      </x:c>
      <x:c r="E286" s="38" t="str">
        <x:v>Taco Ciego Blanco 1M</x:v>
      </x:c>
      <x:c r="F286" s="38" t="str">
        <x:v>TACO CIEGO BLANCO 1M</x:v>
      </x:c>
      <x:c r="G286" s="38" t="str">
        <x:v>GEW-GW10195 / 910195</x:v>
      </x:c>
      <x:c r="H286" s="38" t="str">
        <x:v>Comercial Eléctrica Canarias, S.A.</x:v>
      </x:c>
      <x:c r="I286" s="38" t="str">
        <x:v>Factura 91961426</x:v>
      </x:c>
      <x:c r="J286" s="115" t="str">
        <x:v>15/05/2026</x:v>
      </x:c>
      <x:c r="K286" s="38" t="str">
        <x:v>Albarán 132.392/013 (08/05/2026)</x:v>
      </x:c>
      <x:c r="L286" s="38" t="n">
        <x:v>-3</x:v>
      </x:c>
      <x:c r="M286" s="38" t="str">
        <x:v>Unidad</x:v>
      </x:c>
      <x:c r="N286" s="38" t="n">
        <x:v>1</x:v>
      </x:c>
      <x:c r="O286" s="38" t="str">
        <x:v>Unidad</x:v>
      </x:c>
      <x:c r="P286" s="99" t="n">
        <x:v>0.701</x:v>
      </x:c>
      <x:c r="Q286" s="114" t="n">
        <x:v>0</x:v>
      </x:c>
      <x:c r="R286" s="99" t="n">
        <x:v>-2.1</x:v>
      </x:c>
      <x:c r="S286" s="99" t="n">
        <x:f>IFERROR(R286/L286,P286*(1-Q286))</x:f>
        <x:v>0.7000000000000001</x:v>
      </x:c>
      <x:c r="T286" s="114" t="n">
        <x:v>0.07</x:v>
      </x:c>
      <x:c r="U286" s="99" t="n">
        <x:f>S286*(1+T286)</x:f>
        <x:v>0.7490000000000001</x:v>
      </x:c>
      <x:c r="V286" s="99" t="n">
        <x:f>S286</x:f>
        <x:v>0.7000000000000001</x:v>
      </x:c>
      <x:c r="W286" s="99" t="n">
        <x:f>V286-S286</x:f>
        <x:v>0</x:v>
      </x:c>
      <x:c r="X286" s="114" t="n">
        <x:f>IFERROR(W286/V286,0)</x:f>
        <x:v>0</x:v>
      </x:c>
      <x:c r="Y286" s="38" t="str">
        <x:v>Por unidad</x:v>
      </x:c>
      <x:c r="Z286" s="38" t="str">
        <x:f>IF(Y286="Botella / 3 instalaciones","Precio botella / 3",IF(Y286="Por rollo o metros proporcionales","Si se pasa rollo: rollo completo. Si se pasan metros: proporcional",Y286))</x:f>
        <x:v>Por unidad</x:v>
      </x:c>
      <x:c r="AA286" s="38" t="n">
        <x:v>1</x:v>
      </x:c>
      <x:c r="AB286" s="38" t="str"/>
      <x:c r="AC286" s="38" t="str"/>
      <x:c r="AD286" s="116" t="str">
        <x:v>2026-06-30</x:v>
      </x:c>
      <x:c r="AE286" s="38" t="str">
        <x:v>No</x:v>
      </x:c>
      <x:c r="AF286" s="38" t="str"/>
    </x:row>
    <x:row r="287">
      <x:c r="A287" s="38" t="str">
        <x:v>MAT-0286</x:v>
      </x:c>
      <x:c r="B287" s="38" t="str">
        <x:v>Sí</x:v>
      </x:c>
      <x:c r="C287" s="38" t="str">
        <x:v>Sin clasificar</x:v>
      </x:c>
      <x:c r="D287" s="38" t="str"/>
      <x:c r="E287" s="38" t="str">
        <x:v>Conmutador Blanco 2M 16A</x:v>
      </x:c>
      <x:c r="F287" s="38" t="str">
        <x:v>CONMUTADOR BLANCO 2M 16A</x:v>
      </x:c>
      <x:c r="G287" s="38" t="str">
        <x:v>GEW-GW10071 / 910071</x:v>
      </x:c>
      <x:c r="H287" s="38" t="str">
        <x:v>Comercial Eléctrica Canarias, S.A.</x:v>
      </x:c>
      <x:c r="I287" s="38" t="str">
        <x:v>Factura 91961426</x:v>
      </x:c>
      <x:c r="J287" s="115" t="str">
        <x:v>15/05/2026</x:v>
      </x:c>
      <x:c r="K287" s="38" t="str">
        <x:v>Albarán 132.392/013 (08/05/2026)</x:v>
      </x:c>
      <x:c r="L287" s="38" t="n">
        <x:v>-1</x:v>
      </x:c>
      <x:c r="M287" s="38" t="str">
        <x:v>Unidad</x:v>
      </x:c>
      <x:c r="N287" s="38" t="n">
        <x:v>1</x:v>
      </x:c>
      <x:c r="O287" s="38" t="str">
        <x:v>Unidad</x:v>
      </x:c>
      <x:c r="P287" s="99" t="n">
        <x:v>2.462</x:v>
      </x:c>
      <x:c r="Q287" s="114" t="n">
        <x:v>0</x:v>
      </x:c>
      <x:c r="R287" s="99" t="n">
        <x:v>-2.46</x:v>
      </x:c>
      <x:c r="S287" s="99" t="n">
        <x:f>IFERROR(R287/L287,P287*(1-Q287))</x:f>
        <x:v>2.46</x:v>
      </x:c>
      <x:c r="T287" s="114" t="n">
        <x:v>0.07</x:v>
      </x:c>
      <x:c r="U287" s="99" t="n">
        <x:f>S287*(1+T287)</x:f>
        <x:v>2.6322</x:v>
      </x:c>
      <x:c r="V287" s="99" t="n">
        <x:f>S287</x:f>
        <x:v>2.46</x:v>
      </x:c>
      <x:c r="W287" s="99" t="n">
        <x:f>V287-S287</x:f>
        <x:v>0</x:v>
      </x:c>
      <x:c r="X287" s="114" t="n">
        <x:f>IFERROR(W287/V287,0)</x:f>
        <x:v>0</x:v>
      </x:c>
      <x:c r="Y287" s="38" t="str">
        <x:v>Por unidad</x:v>
      </x:c>
      <x:c r="Z287" s="38" t="str">
        <x:f>IF(Y287="Botella / 3 instalaciones","Precio botella / 3",IF(Y287="Por rollo o metros proporcionales","Si se pasa rollo: rollo completo. Si se pasan metros: proporcional",Y287))</x:f>
        <x:v>Por unidad</x:v>
      </x:c>
      <x:c r="AA287" s="38" t="n">
        <x:v>1</x:v>
      </x:c>
      <x:c r="AB287" s="38" t="str"/>
      <x:c r="AC287" s="38" t="str"/>
      <x:c r="AD287" s="116" t="str">
        <x:v>2026-06-30</x:v>
      </x:c>
      <x:c r="AE287" s="38" t="str">
        <x:v>Sí</x:v>
      </x:c>
      <x:c r="AF287" s="38" t="str">
        <x:v>Revisar categoría antes de usar en cálculo automático.</x:v>
      </x:c>
    </x:row>
    <x:row r="288">
      <x:c r="A288" s="38" t="str">
        <x:v>MAT-0287</x:v>
      </x:c>
      <x:c r="B288" s="38" t="str">
        <x:v>Sí</x:v>
      </x:c>
      <x:c r="C288" s="38" t="str">
        <x:v>Sin clasificar</x:v>
      </x:c>
      <x:c r="D288" s="38" t="str"/>
      <x:c r="E288" s="38" t="str">
        <x:v>Interruptor Blanco 1M 16</x:v>
      </x:c>
      <x:c r="F288" s="38" t="str">
        <x:v>INTERRUPTOR BLANCO 1M 16</x:v>
      </x:c>
      <x:c r="G288" s="38" t="str">
        <x:v>GEW-GW10001 / 910001</x:v>
      </x:c>
      <x:c r="H288" s="38" t="str">
        <x:v>Comercial Eléctrica Canarias, S.A.</x:v>
      </x:c>
      <x:c r="I288" s="38" t="str">
        <x:v>Factura 91961426</x:v>
      </x:c>
      <x:c r="J288" s="115" t="str">
        <x:v>15/05/2026</x:v>
      </x:c>
      <x:c r="K288" s="38" t="str">
        <x:v>Albarán 132.392/013 (08/05/2026)</x:v>
      </x:c>
      <x:c r="L288" s="38" t="n">
        <x:v>-1</x:v>
      </x:c>
      <x:c r="M288" s="38" t="str">
        <x:v>Unidad</x:v>
      </x:c>
      <x:c r="N288" s="38" t="n">
        <x:v>1</x:v>
      </x:c>
      <x:c r="O288" s="38" t="str">
        <x:v>Unidad</x:v>
      </x:c>
      <x:c r="P288" s="99" t="n">
        <x:v>2.26</x:v>
      </x:c>
      <x:c r="Q288" s="114" t="n">
        <x:v>0</x:v>
      </x:c>
      <x:c r="R288" s="99" t="n">
        <x:v>-2.26</x:v>
      </x:c>
      <x:c r="S288" s="99" t="n">
        <x:f>IFERROR(R288/L288,P288*(1-Q288))</x:f>
        <x:v>2.26</x:v>
      </x:c>
      <x:c r="T288" s="114" t="n">
        <x:v>0.07</x:v>
      </x:c>
      <x:c r="U288" s="99" t="n">
        <x:f>S288*(1+T288)</x:f>
        <x:v>2.4182</x:v>
      </x:c>
      <x:c r="V288" s="99" t="n">
        <x:f>S288</x:f>
        <x:v>2.26</x:v>
      </x:c>
      <x:c r="W288" s="99" t="n">
        <x:f>V288-S288</x:f>
        <x:v>0</x:v>
      </x:c>
      <x:c r="X288" s="114" t="n">
        <x:f>IFERROR(W288/V288,0)</x:f>
        <x:v>0</x:v>
      </x:c>
      <x:c r="Y288" s="38" t="str">
        <x:v>Por unidad</x:v>
      </x:c>
      <x:c r="Z288" s="38" t="str">
        <x:f>IF(Y288="Botella / 3 instalaciones","Precio botella / 3",IF(Y288="Por rollo o metros proporcionales","Si se pasa rollo: rollo completo. Si se pasan metros: proporcional",Y288))</x:f>
        <x:v>Por unidad</x:v>
      </x:c>
      <x:c r="AA288" s="38" t="n">
        <x:v>1</x:v>
      </x:c>
      <x:c r="AB288" s="38" t="str"/>
      <x:c r="AC288" s="38" t="str"/>
      <x:c r="AD288" s="116" t="str">
        <x:v>2026-06-30</x:v>
      </x:c>
      <x:c r="AE288" s="38" t="str">
        <x:v>Sí</x:v>
      </x:c>
      <x:c r="AF288" s="38" t="str">
        <x:v>Revisar categoría antes de usar en cálculo automático.</x:v>
      </x:c>
    </x:row>
    <x:row r="289">
      <x:c r="A289" s="38" t="str">
        <x:v>MAT-0288</x:v>
      </x:c>
      <x:c r="B289" s="38" t="str">
        <x:v>Sí</x:v>
      </x:c>
      <x:c r="C289" s="38" t="str">
        <x:v>Sin clasificar</x:v>
      </x:c>
      <x:c r="D289" s="38" t="str"/>
      <x:c r="E289" s="38" t="str">
        <x:v>Conmutador Blanco 1M 16A</x:v>
      </x:c>
      <x:c r="F289" s="38" t="str">
        <x:v>CONMUTADOR BLANCO 1M 16A</x:v>
      </x:c>
      <x:c r="G289" s="38" t="str">
        <x:v>GEW-GW10051 / 910051</x:v>
      </x:c>
      <x:c r="H289" s="38" t="str">
        <x:v>Comercial Eléctrica Canarias, S.A.</x:v>
      </x:c>
      <x:c r="I289" s="38" t="str">
        <x:v>Factura 91961426</x:v>
      </x:c>
      <x:c r="J289" s="115" t="str">
        <x:v>15/05/2026</x:v>
      </x:c>
      <x:c r="K289" s="38" t="str">
        <x:v>Albarán 132.392/013 (08/05/2026)</x:v>
      </x:c>
      <x:c r="L289" s="38" t="n">
        <x:v>-1</x:v>
      </x:c>
      <x:c r="M289" s="38" t="str">
        <x:v>Unidad</x:v>
      </x:c>
      <x:c r="N289" s="38" t="n">
        <x:v>1</x:v>
      </x:c>
      <x:c r="O289" s="38" t="str">
        <x:v>Unidad</x:v>
      </x:c>
      <x:c r="P289" s="99" t="n">
        <x:v>2.496</x:v>
      </x:c>
      <x:c r="Q289" s="114" t="n">
        <x:v>0</x:v>
      </x:c>
      <x:c r="R289" s="99" t="n">
        <x:v>-2.5</x:v>
      </x:c>
      <x:c r="S289" s="99" t="n">
        <x:f>IFERROR(R289/L289,P289*(1-Q289))</x:f>
        <x:v>2.5</x:v>
      </x:c>
      <x:c r="T289" s="114" t="n">
        <x:v>0.07</x:v>
      </x:c>
      <x:c r="U289" s="99" t="n">
        <x:f>S289*(1+T289)</x:f>
        <x:v>2.6750000000000003</x:v>
      </x:c>
      <x:c r="V289" s="99" t="n">
        <x:f>S289</x:f>
        <x:v>2.5</x:v>
      </x:c>
      <x:c r="W289" s="99" t="n">
        <x:f>V289-S289</x:f>
        <x:v>0</x:v>
      </x:c>
      <x:c r="X289" s="114" t="n">
        <x:f>IFERROR(W289/V289,0)</x:f>
        <x:v>0</x:v>
      </x:c>
      <x:c r="Y289" s="38" t="str">
        <x:v>Por unidad</x:v>
      </x:c>
      <x:c r="Z289" s="38" t="str">
        <x:f>IF(Y289="Botella / 3 instalaciones","Precio botella / 3",IF(Y289="Por rollo o metros proporcionales","Si se pasa rollo: rollo completo. Si se pasan metros: proporcional",Y289))</x:f>
        <x:v>Por unidad</x:v>
      </x:c>
      <x:c r="AA289" s="38" t="n">
        <x:v>1</x:v>
      </x:c>
      <x:c r="AB289" s="38" t="str"/>
      <x:c r="AC289" s="38" t="str"/>
      <x:c r="AD289" s="116" t="str">
        <x:v>2026-06-30</x:v>
      </x:c>
      <x:c r="AE289" s="38" t="str">
        <x:v>Sí</x:v>
      </x:c>
      <x:c r="AF289" s="38" t="str">
        <x:v>Revisar categoría antes de usar en cálculo automático.</x:v>
      </x:c>
    </x:row>
    <x:row r="290">
      <x:c r="A290" s="38" t="str">
        <x:v>MAT-0289</x:v>
      </x:c>
      <x:c r="B290" s="38" t="str">
        <x:v>Sí</x:v>
      </x:c>
      <x:c r="C290" s="38" t="str">
        <x:v>Soportes y fijaciones</x:v>
      </x:c>
      <x:c r="D290" s="38" t="str">
        <x:v>Soportes/amortiguadores</x:v>
      </x:c>
      <x:c r="E290" s="38" t="str">
        <x:v>Soporte 2M Torn.Caja Cuadra</x:v>
      </x:c>
      <x:c r="F290" s="38" t="str">
        <x:v>SOPORTE 2M TORN.CAJA CUADRA</x:v>
      </x:c>
      <x:c r="G290" s="38" t="str">
        <x:v>GEW-GW16822 / 916822</x:v>
      </x:c>
      <x:c r="H290" s="38" t="str">
        <x:v>Comercial Eléctrica Canarias, S.A.</x:v>
      </x:c>
      <x:c r="I290" s="38" t="str">
        <x:v>Factura 91961426</x:v>
      </x:c>
      <x:c r="J290" s="115" t="str">
        <x:v>15/05/2026</x:v>
      </x:c>
      <x:c r="K290" s="38" t="str">
        <x:v>Albarán 132.392/013 (08/05/2026)</x:v>
      </x:c>
      <x:c r="L290" s="38" t="n">
        <x:v>-5</x:v>
      </x:c>
      <x:c r="M290" s="38" t="str">
        <x:v>Unidad</x:v>
      </x:c>
      <x:c r="N290" s="38" t="n">
        <x:v>1</x:v>
      </x:c>
      <x:c r="O290" s="38" t="str">
        <x:v>Unidad</x:v>
      </x:c>
      <x:c r="P290" s="99" t="n">
        <x:v>0.39</x:v>
      </x:c>
      <x:c r="Q290" s="114" t="n">
        <x:v>0</x:v>
      </x:c>
      <x:c r="R290" s="99" t="n">
        <x:v>-1.95</x:v>
      </x:c>
      <x:c r="S290" s="99" t="n">
        <x:f>IFERROR(R290/L290,P290*(1-Q290))</x:f>
        <x:v>0.39</x:v>
      </x:c>
      <x:c r="T290" s="114" t="n">
        <x:v>0.07</x:v>
      </x:c>
      <x:c r="U290" s="99" t="n">
        <x:f>S290*(1+T290)</x:f>
        <x:v>0.41730000000000006</x:v>
      </x:c>
      <x:c r="V290" s="99" t="n">
        <x:f>S290</x:f>
        <x:v>0.39</x:v>
      </x:c>
      <x:c r="W290" s="99" t="n">
        <x:f>V290-S290</x:f>
        <x:v>0</x:v>
      </x:c>
      <x:c r="X290" s="114" t="n">
        <x:f>IFERROR(W290/V290,0)</x:f>
        <x:v>0</x:v>
      </x:c>
      <x:c r="Y290" s="38" t="str">
        <x:v>Por unidad</x:v>
      </x:c>
      <x:c r="Z290" s="38" t="str">
        <x:f>IF(Y290="Botella / 3 instalaciones","Precio botella / 3",IF(Y290="Por rollo o metros proporcionales","Si se pasa rollo: rollo completo. Si se pasan metros: proporcional",Y290))</x:f>
        <x:v>Por unidad</x:v>
      </x:c>
      <x:c r="AA290" s="38" t="n">
        <x:v>1</x:v>
      </x:c>
      <x:c r="AB290" s="38" t="str"/>
      <x:c r="AC290" s="38" t="str"/>
      <x:c r="AD290" s="116" t="str">
        <x:v>2026-06-30</x:v>
      </x:c>
      <x:c r="AE290" s="38" t="str">
        <x:v>No</x:v>
      </x:c>
      <x:c r="AF290" s="38" t="str"/>
    </x:row>
    <x:row r="291">
      <x:c r="A291" s="38" t="str">
        <x:v>MAT-0290</x:v>
      </x:c>
      <x:c r="B291" s="38" t="str">
        <x:v>Sí</x:v>
      </x:c>
      <x:c r="C291" s="38" t="str">
        <x:v>Electricidad</x:v>
      </x:c>
      <x:c r="D291" s="38" t="str">
        <x:v>Protección/cuadro</x:v>
      </x:c>
      <x:c r="E291" s="38" t="str">
        <x:v>Automatico 1P+N 25A 6Ka C</x:v>
      </x:c>
      <x:c r="F291" s="38" t="str">
        <x:v>AUTOMATICO 1P+N 25A 6kA C</x:v>
      </x:c>
      <x:c r="G291" s="38" t="str">
        <x:v>06122614R0 / 202028</x:v>
      </x:c>
      <x:c r="H291" s="38" t="str">
        <x:v>Comercial Eléctrica Canarias, S.A.</x:v>
      </x:c>
      <x:c r="I291" s="38" t="str">
        <x:v>Factura 91961426</x:v>
      </x:c>
      <x:c r="J291" s="115" t="str">
        <x:v>15/05/2026</x:v>
      </x:c>
      <x:c r="K291" s="38" t="str">
        <x:v>Albarán 132.392/013 (08/05/2026)</x:v>
      </x:c>
      <x:c r="L291" s="38" t="n">
        <x:v>-1</x:v>
      </x:c>
      <x:c r="M291" s="38" t="str">
        <x:v>Unidad</x:v>
      </x:c>
      <x:c r="N291" s="38" t="n">
        <x:v>1</x:v>
      </x:c>
      <x:c r="O291" s="38" t="str">
        <x:v>Unidad</x:v>
      </x:c>
      <x:c r="P291" s="99" t="n">
        <x:v>2.76</x:v>
      </x:c>
      <x:c r="Q291" s="114" t="n">
        <x:v>0</x:v>
      </x:c>
      <x:c r="R291" s="99" t="n">
        <x:v>-2.76</x:v>
      </x:c>
      <x:c r="S291" s="99" t="n">
        <x:f>IFERROR(R291/L291,P291*(1-Q291))</x:f>
        <x:v>2.76</x:v>
      </x:c>
      <x:c r="T291" s="114" t="n">
        <x:v>0.07</x:v>
      </x:c>
      <x:c r="U291" s="99" t="n">
        <x:f>S291*(1+T291)</x:f>
        <x:v>2.9532</x:v>
      </x:c>
      <x:c r="V291" s="99" t="n">
        <x:f>S291</x:f>
        <x:v>2.76</x:v>
      </x:c>
      <x:c r="W291" s="99" t="n">
        <x:f>V291-S291</x:f>
        <x:v>0</x:v>
      </x:c>
      <x:c r="X291" s="114" t="n">
        <x:f>IFERROR(W291/V291,0)</x:f>
        <x:v>0</x:v>
      </x:c>
      <x:c r="Y291" s="38" t="str">
        <x:v>Por unidad</x:v>
      </x:c>
      <x:c r="Z291" s="38" t="str">
        <x:f>IF(Y291="Botella / 3 instalaciones","Precio botella / 3",IF(Y291="Por rollo o metros proporcionales","Si se pasa rollo: rollo completo. Si se pasan metros: proporcional",Y291))</x:f>
        <x:v>Por unidad</x:v>
      </x:c>
      <x:c r="AA291" s="38" t="n">
        <x:v>1</x:v>
      </x:c>
      <x:c r="AB291" s="38" t="str"/>
      <x:c r="AC291" s="38" t="str"/>
      <x:c r="AD291" s="116" t="str">
        <x:v>2026-06-30</x:v>
      </x:c>
      <x:c r="AE291" s="38" t="str">
        <x:v>No</x:v>
      </x:c>
      <x:c r="AF291" s="38" t="str"/>
    </x:row>
    <x:row r="292">
      <x:c r="A292" s="38" t="str">
        <x:v>MAT-0291</x:v>
      </x:c>
      <x:c r="B292" s="38" t="str">
        <x:v>Sí</x:v>
      </x:c>
      <x:c r="C292" s="38" t="str">
        <x:v>Sin clasificar</x:v>
      </x:c>
      <x:c r="D292" s="38" t="str"/>
      <x:c r="E292" s="38" t="str">
        <x:v>Placa One 2H Blanco Leche Tb</x:v>
      </x:c>
      <x:c r="F292" s="38" t="str">
        <x:v>PLACA ONE 2H BLANCO LECHE TB</x:v>
      </x:c>
      <x:c r="G292" s="38" t="str">
        <x:v>GEW-GW16102TB / 91610200</x:v>
      </x:c>
      <x:c r="H292" s="38" t="str">
        <x:v>Comercial Eléctrica Canarias, S.A.</x:v>
      </x:c>
      <x:c r="I292" s="38" t="str">
        <x:v>Factura 91961426</x:v>
      </x:c>
      <x:c r="J292" s="115" t="str">
        <x:v>15/05/2026</x:v>
      </x:c>
      <x:c r="K292" s="38" t="str">
        <x:v>Albarán 132.392/013 (08/05/2026)</x:v>
      </x:c>
      <x:c r="L292" s="38" t="n">
        <x:v>-4</x:v>
      </x:c>
      <x:c r="M292" s="38" t="str">
        <x:v>Unidad</x:v>
      </x:c>
      <x:c r="N292" s="38" t="n">
        <x:v>1</x:v>
      </x:c>
      <x:c r="O292" s="38" t="str">
        <x:v>Unidad</x:v>
      </x:c>
      <x:c r="P292" s="99" t="n">
        <x:v>1.393</x:v>
      </x:c>
      <x:c r="Q292" s="114" t="n">
        <x:v>0</x:v>
      </x:c>
      <x:c r="R292" s="99" t="n">
        <x:v>-5.57</x:v>
      </x:c>
      <x:c r="S292" s="99" t="n">
        <x:f>IFERROR(R292/L292,P292*(1-Q292))</x:f>
        <x:v>1.3925</x:v>
      </x:c>
      <x:c r="T292" s="114" t="n">
        <x:v>0.07</x:v>
      </x:c>
      <x:c r="U292" s="99" t="n">
        <x:f>S292*(1+T292)</x:f>
        <x:v>1.4899750000000003</x:v>
      </x:c>
      <x:c r="V292" s="99" t="n">
        <x:f>S292</x:f>
        <x:v>1.3925</x:v>
      </x:c>
      <x:c r="W292" s="99" t="n">
        <x:f>V292-S292</x:f>
        <x:v>0</x:v>
      </x:c>
      <x:c r="X292" s="114" t="n">
        <x:f>IFERROR(W292/V292,0)</x:f>
        <x:v>0</x:v>
      </x:c>
      <x:c r="Y292" s="38" t="str">
        <x:v>Por unidad</x:v>
      </x:c>
      <x:c r="Z292" s="38" t="str">
        <x:f>IF(Y292="Botella / 3 instalaciones","Precio botella / 3",IF(Y292="Por rollo o metros proporcionales","Si se pasa rollo: rollo completo. Si se pasan metros: proporcional",Y292))</x:f>
        <x:v>Por unidad</x:v>
      </x:c>
      <x:c r="AA292" s="38" t="n">
        <x:v>1</x:v>
      </x:c>
      <x:c r="AB292" s="38" t="str"/>
      <x:c r="AC292" s="38" t="str"/>
      <x:c r="AD292" s="116" t="str">
        <x:v>2026-06-30</x:v>
      </x:c>
      <x:c r="AE292" s="38" t="str">
        <x:v>Sí</x:v>
      </x:c>
      <x:c r="AF292" s="38" t="str">
        <x:v>Revisar categoría antes de usar en cálculo automático.</x:v>
      </x:c>
    </x:row>
    <x:row r="293">
      <x:c r="A293" s="38" t="str">
        <x:v>MAT-0292</x:v>
      </x:c>
      <x:c r="B293" s="38" t="str">
        <x:v>Sí</x:v>
      </x:c>
      <x:c r="C293" s="38" t="str">
        <x:v>Soportes y fijaciones</x:v>
      </x:c>
      <x:c r="D293" s="38" t="str">
        <x:v>Soportes/amortiguadores</x:v>
      </x:c>
      <x:c r="E293" s="38" t="str">
        <x:v>Soporte 2M Torn.Caja Cuadra</x:v>
      </x:c>
      <x:c r="F293" s="38" t="str">
        <x:v>SOPORTE 2M TORN.CAJA CUADRA</x:v>
      </x:c>
      <x:c r="G293" s="38" t="str">
        <x:v>GEW-GW16822 / 916822</x:v>
      </x:c>
      <x:c r="H293" s="38" t="str">
        <x:v>Comercial Eléctrica Canarias, S.A.</x:v>
      </x:c>
      <x:c r="I293" s="38" t="str">
        <x:v>Factura 92010826</x:v>
      </x:c>
      <x:c r="J293" s="115" t="str">
        <x:v>15/05/2026</x:v>
      </x:c>
      <x:c r="K293" s="38" t="str">
        <x:v>Albarán 132.283/013 (04/05/2026)</x:v>
      </x:c>
      <x:c r="L293" s="38" t="n">
        <x:v>26</x:v>
      </x:c>
      <x:c r="M293" s="38" t="str">
        <x:v>Unidad</x:v>
      </x:c>
      <x:c r="N293" s="38" t="n">
        <x:v>1</x:v>
      </x:c>
      <x:c r="O293" s="38" t="str">
        <x:v>Unidad</x:v>
      </x:c>
      <x:c r="P293" s="99" t="n">
        <x:v>0.39</x:v>
      </x:c>
      <x:c r="Q293" s="114" t="n">
        <x:v>0</x:v>
      </x:c>
      <x:c r="R293" s="99" t="n">
        <x:v>10.14</x:v>
      </x:c>
      <x:c r="S293" s="99" t="n">
        <x:f>IFERROR(R293/L293,P293*(1-Q293))</x:f>
        <x:v>0.39</x:v>
      </x:c>
      <x:c r="T293" s="114" t="n">
        <x:v>0.07</x:v>
      </x:c>
      <x:c r="U293" s="99" t="n">
        <x:f>S293*(1+T293)</x:f>
        <x:v>0.41730000000000006</x:v>
      </x:c>
      <x:c r="V293" s="99" t="n">
        <x:f>S293</x:f>
        <x:v>0.39</x:v>
      </x:c>
      <x:c r="W293" s="99" t="n">
        <x:f>V293-S293</x:f>
        <x:v>0</x:v>
      </x:c>
      <x:c r="X293" s="114" t="n">
        <x:f>IFERROR(W293/V293,0)</x:f>
        <x:v>0</x:v>
      </x:c>
      <x:c r="Y293" s="38" t="str">
        <x:v>Por unidad</x:v>
      </x:c>
      <x:c r="Z293" s="38" t="str">
        <x:f>IF(Y293="Botella / 3 instalaciones","Precio botella / 3",IF(Y293="Por rollo o metros proporcionales","Si se pasa rollo: rollo completo. Si se pasan metros: proporcional",Y293))</x:f>
        <x:v>Por unidad</x:v>
      </x:c>
      <x:c r="AA293" s="38" t="n">
        <x:v>1</x:v>
      </x:c>
      <x:c r="AB293" s="38" t="str"/>
      <x:c r="AC293" s="38" t="str"/>
      <x:c r="AD293" s="116" t="str">
        <x:v>2026-06-30</x:v>
      </x:c>
      <x:c r="AE293" s="38" t="str">
        <x:v>No</x:v>
      </x:c>
      <x:c r="AF293" s="38" t="str"/>
    </x:row>
    <x:row r="294">
      <x:c r="A294" s="38" t="str">
        <x:v>MAT-0293</x:v>
      </x:c>
      <x:c r="B294" s="38" t="str">
        <x:v>Sí</x:v>
      </x:c>
      <x:c r="C294" s="38" t="str">
        <x:v>Sin clasificar</x:v>
      </x:c>
      <x:c r="D294" s="38" t="str"/>
      <x:c r="E294" s="38" t="str">
        <x:v>Placa One Uni.2+2H H Blanco Tb</x:v>
      </x:c>
      <x:c r="F294" s="38" t="str">
        <x:v>PLACA ONE UNI.2+2H H BLANCO TB</x:v>
      </x:c>
      <x:c r="G294" s="38" t="str">
        <x:v>GEW-GW16123TB / 91612300</x:v>
      </x:c>
      <x:c r="H294" s="38" t="str">
        <x:v>Comercial Eléctrica Canarias, S.A.</x:v>
      </x:c>
      <x:c r="I294" s="38" t="str">
        <x:v>Factura 92010826</x:v>
      </x:c>
      <x:c r="J294" s="115" t="str">
        <x:v>15/05/2026</x:v>
      </x:c>
      <x:c r="K294" s="38" t="str">
        <x:v>Albarán 132.283/013 (04/05/2026)</x:v>
      </x:c>
      <x:c r="L294" s="38" t="n">
        <x:v>4</x:v>
      </x:c>
      <x:c r="M294" s="38" t="str">
        <x:v>Unidad</x:v>
      </x:c>
      <x:c r="N294" s="38" t="n">
        <x:v>1</x:v>
      </x:c>
      <x:c r="O294" s="38" t="str">
        <x:v>Unidad</x:v>
      </x:c>
      <x:c r="P294" s="99" t="n">
        <x:v>1.946</x:v>
      </x:c>
      <x:c r="Q294" s="114" t="n">
        <x:v>0</x:v>
      </x:c>
      <x:c r="R294" s="99" t="n">
        <x:v>7.78</x:v>
      </x:c>
      <x:c r="S294" s="99" t="n">
        <x:f>IFERROR(R294/L294,P294*(1-Q294))</x:f>
        <x:v>1.945</x:v>
      </x:c>
      <x:c r="T294" s="114" t="n">
        <x:v>0.07</x:v>
      </x:c>
      <x:c r="U294" s="99" t="n">
        <x:f>S294*(1+T294)</x:f>
        <x:v>2.08115</x:v>
      </x:c>
      <x:c r="V294" s="99" t="n">
        <x:f>S294</x:f>
        <x:v>1.945</x:v>
      </x:c>
      <x:c r="W294" s="99" t="n">
        <x:f>V294-S294</x:f>
        <x:v>0</x:v>
      </x:c>
      <x:c r="X294" s="114" t="n">
        <x:f>IFERROR(W294/V294,0)</x:f>
        <x:v>0</x:v>
      </x:c>
      <x:c r="Y294" s="38" t="str">
        <x:v>Por unidad</x:v>
      </x:c>
      <x:c r="Z294" s="38" t="str">
        <x:f>IF(Y294="Botella / 3 instalaciones","Precio botella / 3",IF(Y294="Por rollo o metros proporcionales","Si se pasa rollo: rollo completo. Si se pasan metros: proporcional",Y294))</x:f>
        <x:v>Por unidad</x:v>
      </x:c>
      <x:c r="AA294" s="38" t="n">
        <x:v>1</x:v>
      </x:c>
      <x:c r="AB294" s="38" t="str"/>
      <x:c r="AC294" s="38" t="str"/>
      <x:c r="AD294" s="116" t="str">
        <x:v>2026-06-30</x:v>
      </x:c>
      <x:c r="AE294" s="38" t="str">
        <x:v>Sí</x:v>
      </x:c>
      <x:c r="AF294" s="38" t="str">
        <x:v>Revisar categoría antes de usar en cálculo automático.</x:v>
      </x:c>
    </x:row>
    <x:row r="295">
      <x:c r="A295" s="38" t="str">
        <x:v>MAT-0294</x:v>
      </x:c>
      <x:c r="B295" s="38" t="str">
        <x:v>Sí</x:v>
      </x:c>
      <x:c r="C295" s="38" t="str">
        <x:v>Sin clasificar</x:v>
      </x:c>
      <x:c r="D295" s="38" t="str"/>
      <x:c r="E295" s="38" t="str">
        <x:v>Placa One U 2+2+2+2H Blanco Tb</x:v>
      </x:c>
      <x:c r="F295" s="38" t="str">
        <x:v>PLACA ONE U 2+2+2+2H BLANCO TB</x:v>
      </x:c>
      <x:c r="G295" s="38" t="str">
        <x:v>GEW-GW16128TB / 91612800</x:v>
      </x:c>
      <x:c r="H295" s="38" t="str">
        <x:v>Comercial Eléctrica Canarias, S.A.</x:v>
      </x:c>
      <x:c r="I295" s="38" t="str">
        <x:v>Factura 92010826</x:v>
      </x:c>
      <x:c r="J295" s="115" t="str">
        <x:v>15/05/2026</x:v>
      </x:c>
      <x:c r="K295" s="38" t="str">
        <x:v>Albarán 132.283/013 (04/05/2026)</x:v>
      </x:c>
      <x:c r="L295" s="38" t="n">
        <x:v>1</x:v>
      </x:c>
      <x:c r="M295" s="38" t="str">
        <x:v>Unidad</x:v>
      </x:c>
      <x:c r="N295" s="38" t="n">
        <x:v>1</x:v>
      </x:c>
      <x:c r="O295" s="38" t="str">
        <x:v>Unidad</x:v>
      </x:c>
      <x:c r="P295" s="99" t="n">
        <x:v>4.323</x:v>
      </x:c>
      <x:c r="Q295" s="114" t="n">
        <x:v>0</x:v>
      </x:c>
      <x:c r="R295" s="99" t="n">
        <x:v>4.32</x:v>
      </x:c>
      <x:c r="S295" s="99" t="n">
        <x:f>IFERROR(R295/L295,P295*(1-Q295))</x:f>
        <x:v>4.32</x:v>
      </x:c>
      <x:c r="T295" s="114" t="n">
        <x:v>0.07</x:v>
      </x:c>
      <x:c r="U295" s="99" t="n">
        <x:f>S295*(1+T295)</x:f>
        <x:v>4.622400000000001</x:v>
      </x:c>
      <x:c r="V295" s="99" t="n">
        <x:f>S295</x:f>
        <x:v>4.32</x:v>
      </x:c>
      <x:c r="W295" s="99" t="n">
        <x:f>V295-S295</x:f>
        <x:v>0</x:v>
      </x:c>
      <x:c r="X295" s="114" t="n">
        <x:f>IFERROR(W295/V295,0)</x:f>
        <x:v>0</x:v>
      </x:c>
      <x:c r="Y295" s="38" t="str">
        <x:v>Por unidad</x:v>
      </x:c>
      <x:c r="Z295" s="38" t="str">
        <x:f>IF(Y295="Botella / 3 instalaciones","Precio botella / 3",IF(Y295="Por rollo o metros proporcionales","Si se pasa rollo: rollo completo. Si se pasan metros: proporcional",Y295))</x:f>
        <x:v>Por unidad</x:v>
      </x:c>
      <x:c r="AA295" s="38" t="n">
        <x:v>1</x:v>
      </x:c>
      <x:c r="AB295" s="38" t="str"/>
      <x:c r="AC295" s="38" t="str"/>
      <x:c r="AD295" s="116" t="str">
        <x:v>2026-06-30</x:v>
      </x:c>
      <x:c r="AE295" s="38" t="str">
        <x:v>Sí</x:v>
      </x:c>
      <x:c r="AF295" s="38" t="str">
        <x:v>Revisar categoría antes de usar en cálculo automático.</x:v>
      </x:c>
    </x:row>
    <x:row r="296">
      <x:c r="A296" s="38" t="str">
        <x:v>MAT-0295</x:v>
      </x:c>
      <x:c r="B296" s="38" t="str">
        <x:v>Sí</x:v>
      </x:c>
      <x:c r="C296" s="38" t="str">
        <x:v>Sin clasificar</x:v>
      </x:c>
      <x:c r="D296" s="38" t="str"/>
      <x:c r="E296" s="38" t="str">
        <x:v>Placa One U.2+2+2H H Blanco Tb</x:v>
      </x:c>
      <x:c r="F296" s="38" t="str">
        <x:v>PLACA ONE U.2+2+2H H BLANCO TB</x:v>
      </x:c>
      <x:c r="G296" s="38" t="str">
        <x:v>GEW-GW16126TB / 91612600</x:v>
      </x:c>
      <x:c r="H296" s="38" t="str">
        <x:v>Comercial Eléctrica Canarias, S.A.</x:v>
      </x:c>
      <x:c r="I296" s="38" t="str">
        <x:v>Factura 92010826</x:v>
      </x:c>
      <x:c r="J296" s="115" t="str">
        <x:v>15/05/2026</x:v>
      </x:c>
      <x:c r="K296" s="38" t="str">
        <x:v>Albarán 132.283/013 (04/05/2026)</x:v>
      </x:c>
      <x:c r="L296" s="38" t="n">
        <x:v>3</x:v>
      </x:c>
      <x:c r="M296" s="38" t="str">
        <x:v>Unidad</x:v>
      </x:c>
      <x:c r="N296" s="38" t="n">
        <x:v>1</x:v>
      </x:c>
      <x:c r="O296" s="38" t="str">
        <x:v>Unidad</x:v>
      </x:c>
      <x:c r="P296" s="99" t="n">
        <x:v>3.363</x:v>
      </x:c>
      <x:c r="Q296" s="114" t="n">
        <x:v>0</x:v>
      </x:c>
      <x:c r="R296" s="99" t="n">
        <x:v>10.09</x:v>
      </x:c>
      <x:c r="S296" s="99" t="n">
        <x:f>IFERROR(R296/L296,P296*(1-Q296))</x:f>
        <x:v>3.3633333333333333</x:v>
      </x:c>
      <x:c r="T296" s="114" t="n">
        <x:v>0.07</x:v>
      </x:c>
      <x:c r="U296" s="99" t="n">
        <x:f>S296*(1+T296)</x:f>
        <x:v>3.5987666666666667</x:v>
      </x:c>
      <x:c r="V296" s="99" t="n">
        <x:f>S296</x:f>
        <x:v>3.3633333333333333</x:v>
      </x:c>
      <x:c r="W296" s="99" t="n">
        <x:f>V296-S296</x:f>
        <x:v>0</x:v>
      </x:c>
      <x:c r="X296" s="114" t="n">
        <x:f>IFERROR(W296/V296,0)</x:f>
        <x:v>0</x:v>
      </x:c>
      <x:c r="Y296" s="38" t="str">
        <x:v>Por unidad</x:v>
      </x:c>
      <x:c r="Z296" s="38" t="str">
        <x:f>IF(Y296="Botella / 3 instalaciones","Precio botella / 3",IF(Y296="Por rollo o metros proporcionales","Si se pasa rollo: rollo completo. Si se pasan metros: proporcional",Y296))</x:f>
        <x:v>Por unidad</x:v>
      </x:c>
      <x:c r="AA296" s="38" t="n">
        <x:v>1</x:v>
      </x:c>
      <x:c r="AB296" s="38" t="str"/>
      <x:c r="AC296" s="38" t="str"/>
      <x:c r="AD296" s="116" t="str">
        <x:v>2026-06-30</x:v>
      </x:c>
      <x:c r="AE296" s="38" t="str">
        <x:v>Sí</x:v>
      </x:c>
      <x:c r="AF296" s="38" t="str">
        <x:v>Revisar categoría antes de usar en cálculo automático.</x:v>
      </x:c>
    </x:row>
    <x:row r="297">
      <x:c r="A297" s="38" t="str">
        <x:v>MAT-0296</x:v>
      </x:c>
      <x:c r="B297" s="38" t="str">
        <x:v>Sí</x:v>
      </x:c>
      <x:c r="C297" s="38" t="str">
        <x:v>Sin clasificar</x:v>
      </x:c>
      <x:c r="D297" s="38" t="str"/>
      <x:c r="E297" s="38" t="str">
        <x:v>Placa Compact Ciega 4M Blanco</x:v>
      </x:c>
      <x:c r="F297" s="38" t="str">
        <x:v>PLACA COMPACT CIEGA 4M BLANCO</x:v>
      </x:c>
      <x:c r="G297" s="38" t="str">
        <x:v>GEW-GW24213 / 924213</x:v>
      </x:c>
      <x:c r="H297" s="38" t="str">
        <x:v>Comercial Eléctrica Canarias, S.A.</x:v>
      </x:c>
      <x:c r="I297" s="38" t="str">
        <x:v>Factura 92010826</x:v>
      </x:c>
      <x:c r="J297" s="115" t="str">
        <x:v>15/05/2026</x:v>
      </x:c>
      <x:c r="K297" s="38" t="str">
        <x:v>Albarán 132.283/013 (04/05/2026)</x:v>
      </x:c>
      <x:c r="L297" s="38" t="n">
        <x:v>3</x:v>
      </x:c>
      <x:c r="M297" s="38" t="str">
        <x:v>Unidad</x:v>
      </x:c>
      <x:c r="N297" s="38" t="n">
        <x:v>1</x:v>
      </x:c>
      <x:c r="O297" s="38" t="str">
        <x:v>Unidad</x:v>
      </x:c>
      <x:c r="P297" s="99" t="n">
        <x:v>5.009</x:v>
      </x:c>
      <x:c r="Q297" s="114" t="n">
        <x:v>0</x:v>
      </x:c>
      <x:c r="R297" s="99" t="n">
        <x:v>15.03</x:v>
      </x:c>
      <x:c r="S297" s="99" t="n">
        <x:f>IFERROR(R297/L297,P297*(1-Q297))</x:f>
        <x:v>5.01</x:v>
      </x:c>
      <x:c r="T297" s="114" t="n">
        <x:v>0.07</x:v>
      </x:c>
      <x:c r="U297" s="99" t="n">
        <x:f>S297*(1+T297)</x:f>
        <x:v>5.3607000000000005</x:v>
      </x:c>
      <x:c r="V297" s="99" t="n">
        <x:f>S297</x:f>
        <x:v>5.01</x:v>
      </x:c>
      <x:c r="W297" s="99" t="n">
        <x:f>V297-S297</x:f>
        <x:v>0</x:v>
      </x:c>
      <x:c r="X297" s="114" t="n">
        <x:f>IFERROR(W297/V297,0)</x:f>
        <x:v>0</x:v>
      </x:c>
      <x:c r="Y297" s="38" t="str">
        <x:v>Por unidad</x:v>
      </x:c>
      <x:c r="Z297" s="38" t="str">
        <x:f>IF(Y297="Botella / 3 instalaciones","Precio botella / 3",IF(Y297="Por rollo o metros proporcionales","Si se pasa rollo: rollo completo. Si se pasan metros: proporcional",Y297))</x:f>
        <x:v>Por unidad</x:v>
      </x:c>
      <x:c r="AA297" s="38" t="n">
        <x:v>1</x:v>
      </x:c>
      <x:c r="AB297" s="38" t="str"/>
      <x:c r="AC297" s="38" t="str"/>
      <x:c r="AD297" s="116" t="str">
        <x:v>2026-06-30</x:v>
      </x:c>
      <x:c r="AE297" s="38" t="str">
        <x:v>Sí</x:v>
      </x:c>
      <x:c r="AF297" s="38" t="str">
        <x:v>Revisar categoría antes de usar en cálculo automático.</x:v>
      </x:c>
    </x:row>
    <x:row r="298">
      <x:c r="A298" s="38" t="str">
        <x:v>MAT-0297</x:v>
      </x:c>
      <x:c r="B298" s="38" t="str">
        <x:v>Sí</x:v>
      </x:c>
      <x:c r="C298" s="38" t="str">
        <x:v>Pequeño material</x:v>
      </x:c>
      <x:c r="D298" s="38" t="str">
        <x:v>Consumible</x:v>
      </x:c>
      <x:c r="E298" s="38" t="str">
        <x:v>Taco Ciego Blanco 2M</x:v>
      </x:c>
      <x:c r="F298" s="38" t="str">
        <x:v>TACO CIEGO BLANCO 2M</x:v>
      </x:c>
      <x:c r="G298" s="38" t="str">
        <x:v>GEW-GW10198 / 910198</x:v>
      </x:c>
      <x:c r="H298" s="38" t="str">
        <x:v>Comercial Eléctrica Canarias, S.A.</x:v>
      </x:c>
      <x:c r="I298" s="38" t="str">
        <x:v>Factura 92010826</x:v>
      </x:c>
      <x:c r="J298" s="115" t="str">
        <x:v>15/05/2026</x:v>
      </x:c>
      <x:c r="K298" s="38" t="str">
        <x:v>Albarán 132.283/013 (04/05/2026)</x:v>
      </x:c>
      <x:c r="L298" s="38" t="n">
        <x:v>3</x:v>
      </x:c>
      <x:c r="M298" s="38" t="str">
        <x:v>Unidad</x:v>
      </x:c>
      <x:c r="N298" s="38" t="n">
        <x:v>1</x:v>
      </x:c>
      <x:c r="O298" s="38" t="str">
        <x:v>Unidad</x:v>
      </x:c>
      <x:c r="P298" s="99" t="n">
        <x:v>1.329</x:v>
      </x:c>
      <x:c r="Q298" s="114" t="n">
        <x:v>0</x:v>
      </x:c>
      <x:c r="R298" s="99" t="n">
        <x:v>3.99</x:v>
      </x:c>
      <x:c r="S298" s="99" t="n">
        <x:f>IFERROR(R298/L298,P298*(1-Q298))</x:f>
        <x:v>1.33</x:v>
      </x:c>
      <x:c r="T298" s="114" t="n">
        <x:v>0.07</x:v>
      </x:c>
      <x:c r="U298" s="99" t="n">
        <x:f>S298*(1+T298)</x:f>
        <x:v>1.4231000000000003</x:v>
      </x:c>
      <x:c r="V298" s="99" t="n">
        <x:f>S298</x:f>
        <x:v>1.33</x:v>
      </x:c>
      <x:c r="W298" s="99" t="n">
        <x:f>V298-S298</x:f>
        <x:v>0</x:v>
      </x:c>
      <x:c r="X298" s="114" t="n">
        <x:f>IFERROR(W298/V298,0)</x:f>
        <x:v>0</x:v>
      </x:c>
      <x:c r="Y298" s="38" t="str">
        <x:v>Por unidad</x:v>
      </x:c>
      <x:c r="Z298" s="38" t="str">
        <x:f>IF(Y298="Botella / 3 instalaciones","Precio botella / 3",IF(Y298="Por rollo o metros proporcionales","Si se pasa rollo: rollo completo. Si se pasan metros: proporcional",Y298))</x:f>
        <x:v>Por unidad</x:v>
      </x:c>
      <x:c r="AA298" s="38" t="n">
        <x:v>1</x:v>
      </x:c>
      <x:c r="AB298" s="38" t="str"/>
      <x:c r="AC298" s="38" t="str"/>
      <x:c r="AD298" s="116" t="str">
        <x:v>2026-06-30</x:v>
      </x:c>
      <x:c r="AE298" s="38" t="str">
        <x:v>No</x:v>
      </x:c>
      <x:c r="AF298" s="38" t="str"/>
    </x:row>
    <x:row r="299">
      <x:c r="A299" s="38" t="str">
        <x:v>MAT-0298</x:v>
      </x:c>
      <x:c r="B299" s="38" t="str">
        <x:v>Sí</x:v>
      </x:c>
      <x:c r="C299" s="38" t="str">
        <x:v>Pequeño material</x:v>
      </x:c>
      <x:c r="D299" s="38" t="str">
        <x:v>Consumible</x:v>
      </x:c>
      <x:c r="E299" s="38" t="str">
        <x:v>Cinta Aislante N10 33X25 Negr</x:v>
      </x:c>
      <x:c r="F299" s="38" t="str">
        <x:v>CINTA AISLANTE N10 33x25 NEGR</x:v>
      </x:c>
      <x:c r="G299" s="38" t="str">
        <x:v>PLY-5261 / 2995</x:v>
      </x:c>
      <x:c r="H299" s="38" t="str">
        <x:v>Comercial Eléctrica Canarias, S.A.</x:v>
      </x:c>
      <x:c r="I299" s="38" t="str">
        <x:v>Factura 92010826</x:v>
      </x:c>
      <x:c r="J299" s="115" t="str">
        <x:v>15/05/2026</x:v>
      </x:c>
      <x:c r="K299" s="38" t="str">
        <x:v>Albarán 132.283/013 (04/05/2026)</x:v>
      </x:c>
      <x:c r="L299" s="38" t="n">
        <x:v>2</x:v>
      </x:c>
      <x:c r="M299" s="38" t="str">
        <x:v>Unidad</x:v>
      </x:c>
      <x:c r="N299" s="38" t="n">
        <x:v>1</x:v>
      </x:c>
      <x:c r="O299" s="38" t="str">
        <x:v>Unidad</x:v>
      </x:c>
      <x:c r="P299" s="99" t="n">
        <x:v>2.18</x:v>
      </x:c>
      <x:c r="Q299" s="114" t="n">
        <x:v>0</x:v>
      </x:c>
      <x:c r="R299" s="99" t="n">
        <x:v>4.36</x:v>
      </x:c>
      <x:c r="S299" s="99" t="n">
        <x:f>IFERROR(R299/L299,P299*(1-Q299))</x:f>
        <x:v>2.18</x:v>
      </x:c>
      <x:c r="T299" s="114" t="n">
        <x:v>0.03</x:v>
      </x:c>
      <x:c r="U299" s="99" t="n">
        <x:f>S299*(1+T299)</x:f>
        <x:v>2.2454</x:v>
      </x:c>
      <x:c r="V299" s="99" t="n">
        <x:f>S299</x:f>
        <x:v>2.18</x:v>
      </x:c>
      <x:c r="W299" s="99" t="n">
        <x:f>V299-S299</x:f>
        <x:v>0</x:v>
      </x:c>
      <x:c r="X299" s="114" t="n">
        <x:f>IFERROR(W299/V299,0)</x:f>
        <x:v>0</x:v>
      </x:c>
      <x:c r="Y299" s="38" t="str">
        <x:v>Por unidad</x:v>
      </x:c>
      <x:c r="Z299" s="38" t="str">
        <x:f>IF(Y299="Botella / 3 instalaciones","Precio botella / 3",IF(Y299="Por rollo o metros proporcionales","Si se pasa rollo: rollo completo. Si se pasan metros: proporcional",Y299))</x:f>
        <x:v>Por unidad</x:v>
      </x:c>
      <x:c r="AA299" s="38" t="n">
        <x:v>1</x:v>
      </x:c>
      <x:c r="AB299" s="38" t="str"/>
      <x:c r="AC299" s="38" t="str"/>
      <x:c r="AD299" s="116" t="str">
        <x:v>2026-06-30</x:v>
      </x:c>
      <x:c r="AE299" s="38" t="str">
        <x:v>No</x:v>
      </x:c>
      <x:c r="AF299" s="38" t="str"/>
    </x:row>
    <x:row r="300">
      <x:c r="A300" s="38" t="str">
        <x:v>MAT-0299</x:v>
      </x:c>
      <x:c r="B300" s="38" t="str">
        <x:v>Sí</x:v>
      </x:c>
      <x:c r="C300" s="38" t="str">
        <x:v>Sin clasificar</x:v>
      </x:c>
      <x:c r="D300" s="38" t="str"/>
      <x:c r="E300" s="38" t="str">
        <x:v>Base Schuko Blanco 2M 16 N.Esp</x:v>
      </x:c>
      <x:c r="F300" s="38" t="str">
        <x:v>BASE SCHUKO BLANCO 2M 16 N.ESP</x:v>
      </x:c>
      <x:c r="G300" s="38" t="str">
        <x:v>GEW-GW10241 / 910241</x:v>
      </x:c>
      <x:c r="H300" s="38" t="str">
        <x:v>Comercial Eléctrica Canarias, S.A.</x:v>
      </x:c>
      <x:c r="I300" s="38" t="str">
        <x:v>Factura 92010826</x:v>
      </x:c>
      <x:c r="J300" s="115" t="str">
        <x:v>15/05/2026</x:v>
      </x:c>
      <x:c r="K300" s="38" t="str">
        <x:v>Albarán 132.283/013 (04/05/2026)</x:v>
      </x:c>
      <x:c r="L300" s="38" t="n">
        <x:v>18</x:v>
      </x:c>
      <x:c r="M300" s="38" t="str">
        <x:v>Unidad</x:v>
      </x:c>
      <x:c r="N300" s="38" t="n">
        <x:v>1</x:v>
      </x:c>
      <x:c r="O300" s="38" t="str">
        <x:v>Unidad</x:v>
      </x:c>
      <x:c r="P300" s="99" t="n">
        <x:v>2.877</x:v>
      </x:c>
      <x:c r="Q300" s="114" t="n">
        <x:v>0</x:v>
      </x:c>
      <x:c r="R300" s="99" t="n">
        <x:v>51.79</x:v>
      </x:c>
      <x:c r="S300" s="99" t="n">
        <x:f>IFERROR(R300/L300,P300*(1-Q300))</x:f>
        <x:v>2.877222222222222</x:v>
      </x:c>
      <x:c r="T300" s="114" t="n">
        <x:v>0.07</x:v>
      </x:c>
      <x:c r="U300" s="99" t="n">
        <x:f>S300*(1+T300)</x:f>
        <x:v>3.0786277777777777</x:v>
      </x:c>
      <x:c r="V300" s="99" t="n">
        <x:f>S300</x:f>
        <x:v>2.877222222222222</x:v>
      </x:c>
      <x:c r="W300" s="99" t="n">
        <x:f>V300-S300</x:f>
        <x:v>0</x:v>
      </x:c>
      <x:c r="X300" s="114" t="n">
        <x:f>IFERROR(W300/V300,0)</x:f>
        <x:v>0</x:v>
      </x:c>
      <x:c r="Y300" s="38" t="str">
        <x:v>Por unidad</x:v>
      </x:c>
      <x:c r="Z300" s="38" t="str">
        <x:f>IF(Y300="Botella / 3 instalaciones","Precio botella / 3",IF(Y300="Por rollo o metros proporcionales","Si se pasa rollo: rollo completo. Si se pasan metros: proporcional",Y300))</x:f>
        <x:v>Por unidad</x:v>
      </x:c>
      <x:c r="AA300" s="38" t="n">
        <x:v>1</x:v>
      </x:c>
      <x:c r="AB300" s="38" t="str"/>
      <x:c r="AC300" s="38" t="str"/>
      <x:c r="AD300" s="116" t="str">
        <x:v>2026-06-30</x:v>
      </x:c>
      <x:c r="AE300" s="38" t="str">
        <x:v>Sí</x:v>
      </x:c>
      <x:c r="AF300" s="38" t="str">
        <x:v>Revisar categoría antes de usar en cálculo automático.</x:v>
      </x:c>
    </x:row>
    <x:row r="301">
      <x:c r="A301" s="38" t="str">
        <x:v>MAT-0300</x:v>
      </x:c>
      <x:c r="B301" s="38" t="str">
        <x:v>Sí</x:v>
      </x:c>
      <x:c r="C301" s="38" t="str">
        <x:v>Soportes y fijaciones</x:v>
      </x:c>
      <x:c r="D301" s="38" t="str">
        <x:v>Soportes/amortiguadores</x:v>
      </x:c>
      <x:c r="E301" s="38" t="str">
        <x:v>Soporte Para Toma Tv/R Ch-Wt</x:v>
      </x:c>
      <x:c r="F301" s="38" t="str">
        <x:v>SOPORTE PARA TOMA TV/R CH-WT</x:v>
      </x:c>
      <x:c r="G301" s="38" t="str">
        <x:v>GEW-GW10386 / 910386</x:v>
      </x:c>
      <x:c r="H301" s="38" t="str">
        <x:v>Comercial Eléctrica Canarias, S.A.</x:v>
      </x:c>
      <x:c r="I301" s="38" t="str">
        <x:v>Factura 92010826</x:v>
      </x:c>
      <x:c r="J301" s="115" t="str">
        <x:v>15/05/2026</x:v>
      </x:c>
      <x:c r="K301" s="38" t="str">
        <x:v>Albarán 132.283/013 (04/05/2026)</x:v>
      </x:c>
      <x:c r="L301" s="38" t="n">
        <x:v>1</x:v>
      </x:c>
      <x:c r="M301" s="38" t="str">
        <x:v>Unidad</x:v>
      </x:c>
      <x:c r="N301" s="38" t="n">
        <x:v>1</x:v>
      </x:c>
      <x:c r="O301" s="38" t="str">
        <x:v>Unidad</x:v>
      </x:c>
      <x:c r="P301" s="99" t="n">
        <x:v>1.155</x:v>
      </x:c>
      <x:c r="Q301" s="114" t="n">
        <x:v>0</x:v>
      </x:c>
      <x:c r="R301" s="99" t="n">
        <x:v>1.16</x:v>
      </x:c>
      <x:c r="S301" s="99" t="n">
        <x:f>IFERROR(R301/L301,P301*(1-Q301))</x:f>
        <x:v>1.16</x:v>
      </x:c>
      <x:c r="T301" s="114" t="n">
        <x:v>0.07</x:v>
      </x:c>
      <x:c r="U301" s="99" t="n">
        <x:f>S301*(1+T301)</x:f>
        <x:v>1.2412</x:v>
      </x:c>
      <x:c r="V301" s="99" t="n">
        <x:f>S301</x:f>
        <x:v>1.16</x:v>
      </x:c>
      <x:c r="W301" s="99" t="n">
        <x:f>V301-S301</x:f>
        <x:v>0</x:v>
      </x:c>
      <x:c r="X301" s="114" t="n">
        <x:f>IFERROR(W301/V301,0)</x:f>
        <x:v>0</x:v>
      </x:c>
      <x:c r="Y301" s="38" t="str">
        <x:v>Por unidad</x:v>
      </x:c>
      <x:c r="Z301" s="38" t="str">
        <x:f>IF(Y301="Botella / 3 instalaciones","Precio botella / 3",IF(Y301="Por rollo o metros proporcionales","Si se pasa rollo: rollo completo. Si se pasan metros: proporcional",Y301))</x:f>
        <x:v>Por unidad</x:v>
      </x:c>
      <x:c r="AA301" s="38" t="n">
        <x:v>1</x:v>
      </x:c>
      <x:c r="AB301" s="38" t="str"/>
      <x:c r="AC301" s="38" t="str"/>
      <x:c r="AD301" s="116" t="str">
        <x:v>2026-06-30</x:v>
      </x:c>
      <x:c r="AE301" s="38" t="str">
        <x:v>No</x:v>
      </x:c>
      <x:c r="AF301" s="38" t="str"/>
    </x:row>
    <x:row r="302">
      <x:c r="A302" s="38" t="str">
        <x:v>MAT-0301</x:v>
      </x:c>
      <x:c r="B302" s="38" t="str">
        <x:v>Sí</x:v>
      </x:c>
      <x:c r="C302" s="38" t="str">
        <x:v>Soportes y fijaciones</x:v>
      </x:c>
      <x:c r="D302" s="38" t="str">
        <x:v>Soportes/amortiguadores</x:v>
      </x:c>
      <x:c r="E302" s="38" t="str">
        <x:v>Soporte 1 A 3M Caja Rect</x:v>
      </x:c>
      <x:c r="F302" s="38" t="str">
        <x:v>SOPORTE 1 a 3M CAJA RECT</x:v>
      </x:c>
      <x:c r="G302" s="38" t="str">
        <x:v>GEW-GW16803 / 916803</x:v>
      </x:c>
      <x:c r="H302" s="38" t="str">
        <x:v>Comercial Eléctrica Canarias, S.A.</x:v>
      </x:c>
      <x:c r="I302" s="38" t="str">
        <x:v>Factura 92010826</x:v>
      </x:c>
      <x:c r="J302" s="115" t="str">
        <x:v>15/05/2026</x:v>
      </x:c>
      <x:c r="K302" s="38" t="str">
        <x:v>Albarán 132.283/013 (04/05/2026)</x:v>
      </x:c>
      <x:c r="L302" s="38" t="n">
        <x:v>4</x:v>
      </x:c>
      <x:c r="M302" s="38" t="str">
        <x:v>Unidad</x:v>
      </x:c>
      <x:c r="N302" s="38" t="n">
        <x:v>1</x:v>
      </x:c>
      <x:c r="O302" s="38" t="str">
        <x:v>Unidad</x:v>
      </x:c>
      <x:c r="P302" s="99" t="n">
        <x:v>0.813</x:v>
      </x:c>
      <x:c r="Q302" s="114" t="n">
        <x:v>0</x:v>
      </x:c>
      <x:c r="R302" s="99" t="n">
        <x:v>3.25</x:v>
      </x:c>
      <x:c r="S302" s="99" t="n">
        <x:f>IFERROR(R302/L302,P302*(1-Q302))</x:f>
        <x:v>0.8125</x:v>
      </x:c>
      <x:c r="T302" s="114" t="n">
        <x:v>0.07</x:v>
      </x:c>
      <x:c r="U302" s="99" t="n">
        <x:f>S302*(1+T302)</x:f>
        <x:v>0.869375</x:v>
      </x:c>
      <x:c r="V302" s="99" t="n">
        <x:f>S302</x:f>
        <x:v>0.8125</x:v>
      </x:c>
      <x:c r="W302" s="99" t="n">
        <x:f>V302-S302</x:f>
        <x:v>0</x:v>
      </x:c>
      <x:c r="X302" s="114" t="n">
        <x:f>IFERROR(W302/V302,0)</x:f>
        <x:v>0</x:v>
      </x:c>
      <x:c r="Y302" s="38" t="str">
        <x:v>Por unidad</x:v>
      </x:c>
      <x:c r="Z302" s="38" t="str">
        <x:f>IF(Y302="Botella / 3 instalaciones","Precio botella / 3",IF(Y302="Por rollo o metros proporcionales","Si se pasa rollo: rollo completo. Si se pasan metros: proporcional",Y302))</x:f>
        <x:v>Por unidad</x:v>
      </x:c>
      <x:c r="AA302" s="38" t="n">
        <x:v>1</x:v>
      </x:c>
      <x:c r="AB302" s="38" t="str"/>
      <x:c r="AC302" s="38" t="str"/>
      <x:c r="AD302" s="116" t="str">
        <x:v>2026-06-30</x:v>
      </x:c>
      <x:c r="AE302" s="38" t="str">
        <x:v>No</x:v>
      </x:c>
      <x:c r="AF302" s="38" t="str"/>
    </x:row>
    <x:row r="303">
      <x:c r="A303" s="38" t="str">
        <x:v>MAT-0302</x:v>
      </x:c>
      <x:c r="B303" s="38" t="str">
        <x:v>Sí</x:v>
      </x:c>
      <x:c r="C303" s="38" t="str">
        <x:v>Pequeño material</x:v>
      </x:c>
      <x:c r="D303" s="38" t="str">
        <x:v>Consumible</x:v>
      </x:c>
      <x:c r="E303" s="38" t="str">
        <x:v>Taco Ciego Blanco 1M</x:v>
      </x:c>
      <x:c r="F303" s="38" t="str">
        <x:v>TACO CIEGO BLANCO 1M</x:v>
      </x:c>
      <x:c r="G303" s="38" t="str">
        <x:v>GEW-GW10195 / 910195</x:v>
      </x:c>
      <x:c r="H303" s="38" t="str">
        <x:v>Comercial Eléctrica Canarias, S.A.</x:v>
      </x:c>
      <x:c r="I303" s="38" t="str">
        <x:v>Factura 92010826</x:v>
      </x:c>
      <x:c r="J303" s="115" t="str">
        <x:v>15/05/2026</x:v>
      </x:c>
      <x:c r="K303" s="38" t="str">
        <x:v>Albarán 132.283/013 (04/05/2026)</x:v>
      </x:c>
      <x:c r="L303" s="38" t="n">
        <x:v>2</x:v>
      </x:c>
      <x:c r="M303" s="38" t="str">
        <x:v>Unidad</x:v>
      </x:c>
      <x:c r="N303" s="38" t="n">
        <x:v>1</x:v>
      </x:c>
      <x:c r="O303" s="38" t="str">
        <x:v>Unidad</x:v>
      </x:c>
      <x:c r="P303" s="99" t="n">
        <x:v>0.701</x:v>
      </x:c>
      <x:c r="Q303" s="114" t="n">
        <x:v>0</x:v>
      </x:c>
      <x:c r="R303" s="99" t="n">
        <x:v>1.4</x:v>
      </x:c>
      <x:c r="S303" s="99" t="n">
        <x:f>IFERROR(R303/L303,P303*(1-Q303))</x:f>
        <x:v>0.7</x:v>
      </x:c>
      <x:c r="T303" s="114" t="n">
        <x:v>0.07</x:v>
      </x:c>
      <x:c r="U303" s="99" t="n">
        <x:f>S303*(1+T303)</x:f>
        <x:v>0.749</x:v>
      </x:c>
      <x:c r="V303" s="99" t="n">
        <x:f>S303</x:f>
        <x:v>0.7</x:v>
      </x:c>
      <x:c r="W303" s="99" t="n">
        <x:f>V303-S303</x:f>
        <x:v>0</x:v>
      </x:c>
      <x:c r="X303" s="114" t="n">
        <x:f>IFERROR(W303/V303,0)</x:f>
        <x:v>0</x:v>
      </x:c>
      <x:c r="Y303" s="38" t="str">
        <x:v>Por unidad</x:v>
      </x:c>
      <x:c r="Z303" s="38" t="str">
        <x:f>IF(Y303="Botella / 3 instalaciones","Precio botella / 3",IF(Y303="Por rollo o metros proporcionales","Si se pasa rollo: rollo completo. Si se pasan metros: proporcional",Y303))</x:f>
        <x:v>Por unidad</x:v>
      </x:c>
      <x:c r="AA303" s="38" t="n">
        <x:v>1</x:v>
      </x:c>
      <x:c r="AB303" s="38" t="str"/>
      <x:c r="AC303" s="38" t="str"/>
      <x:c r="AD303" s="116" t="str">
        <x:v>2026-06-30</x:v>
      </x:c>
      <x:c r="AE303" s="38" t="str">
        <x:v>No</x:v>
      </x:c>
      <x:c r="AF303" s="38" t="str"/>
    </x:row>
    <x:row r="304">
      <x:c r="A304" s="38" t="str">
        <x:v>MAT-0303</x:v>
      </x:c>
      <x:c r="B304" s="38" t="str">
        <x:v>Sí</x:v>
      </x:c>
      <x:c r="C304" s="38" t="str">
        <x:v>Sin clasificar</x:v>
      </x:c>
      <x:c r="D304" s="38" t="str"/>
      <x:c r="E304" s="38" t="str">
        <x:v>Interruptor Blanco 1M 16</x:v>
      </x:c>
      <x:c r="F304" s="38" t="str">
        <x:v>INTERRUPTOR BLANCO 1M 16</x:v>
      </x:c>
      <x:c r="G304" s="38" t="str">
        <x:v>GEW-GW10001 / 910001</x:v>
      </x:c>
      <x:c r="H304" s="38" t="str">
        <x:v>Comercial Eléctrica Canarias, S.A.</x:v>
      </x:c>
      <x:c r="I304" s="38" t="str">
        <x:v>Factura 92010826</x:v>
      </x:c>
      <x:c r="J304" s="115" t="str">
        <x:v>15/05/2026</x:v>
      </x:c>
      <x:c r="K304" s="38" t="str">
        <x:v>Albarán 132.283/013 (04/05/2026)</x:v>
      </x:c>
      <x:c r="L304" s="38" t="n">
        <x:v>3</x:v>
      </x:c>
      <x:c r="M304" s="38" t="str">
        <x:v>Unidad</x:v>
      </x:c>
      <x:c r="N304" s="38" t="n">
        <x:v>1</x:v>
      </x:c>
      <x:c r="O304" s="38" t="str">
        <x:v>Unidad</x:v>
      </x:c>
      <x:c r="P304" s="99" t="n">
        <x:v>2.26</x:v>
      </x:c>
      <x:c r="Q304" s="114" t="n">
        <x:v>0</x:v>
      </x:c>
      <x:c r="R304" s="99" t="n">
        <x:v>6.78</x:v>
      </x:c>
      <x:c r="S304" s="99" t="n">
        <x:f>IFERROR(R304/L304,P304*(1-Q304))</x:f>
        <x:v>2.2600000000000002</x:v>
      </x:c>
      <x:c r="T304" s="114" t="n">
        <x:v>0.07</x:v>
      </x:c>
      <x:c r="U304" s="99" t="n">
        <x:f>S304*(1+T304)</x:f>
        <x:v>2.4182000000000006</x:v>
      </x:c>
      <x:c r="V304" s="99" t="n">
        <x:f>S304</x:f>
        <x:v>2.2600000000000002</x:v>
      </x:c>
      <x:c r="W304" s="99" t="n">
        <x:f>V304-S304</x:f>
        <x:v>0</x:v>
      </x:c>
      <x:c r="X304" s="114" t="n">
        <x:f>IFERROR(W304/V304,0)</x:f>
        <x:v>0</x:v>
      </x:c>
      <x:c r="Y304" s="38" t="str">
        <x:v>Por unidad</x:v>
      </x:c>
      <x:c r="Z304" s="38" t="str">
        <x:f>IF(Y304="Botella / 3 instalaciones","Precio botella / 3",IF(Y304="Por rollo o metros proporcionales","Si se pasa rollo: rollo completo. Si se pasan metros: proporcional",Y304))</x:f>
        <x:v>Por unidad</x:v>
      </x:c>
      <x:c r="AA304" s="38" t="n">
        <x:v>1</x:v>
      </x:c>
      <x:c r="AB304" s="38" t="str"/>
      <x:c r="AC304" s="38" t="str"/>
      <x:c r="AD304" s="116" t="str">
        <x:v>2026-06-30</x:v>
      </x:c>
      <x:c r="AE304" s="38" t="str">
        <x:v>Sí</x:v>
      </x:c>
      <x:c r="AF304" s="38" t="str">
        <x:v>Revisar categoría antes de usar en cálculo automático.</x:v>
      </x:c>
    </x:row>
    <x:row r="305">
      <x:c r="A305" s="38" t="str">
        <x:v>MAT-0304</x:v>
      </x:c>
      <x:c r="B305" s="38" t="str">
        <x:v>Sí</x:v>
      </x:c>
      <x:c r="C305" s="38" t="str">
        <x:v>Sin clasificar</x:v>
      </x:c>
      <x:c r="D305" s="38" t="str"/>
      <x:c r="E305" s="38" t="str">
        <x:v>Conmutador Blanco 2M 16A</x:v>
      </x:c>
      <x:c r="F305" s="38" t="str">
        <x:v>CONMUTADOR BLANCO 2M 16A</x:v>
      </x:c>
      <x:c r="G305" s="38" t="str">
        <x:v>GEW-GW10071 / 910071</x:v>
      </x:c>
      <x:c r="H305" s="38" t="str">
        <x:v>Comercial Eléctrica Canarias, S.A.</x:v>
      </x:c>
      <x:c r="I305" s="38" t="str">
        <x:v>Factura 92010826</x:v>
      </x:c>
      <x:c r="J305" s="115" t="str">
        <x:v>15/05/2026</x:v>
      </x:c>
      <x:c r="K305" s="38" t="str">
        <x:v>Albarán 132.283/013 (04/05/2026)</x:v>
      </x:c>
      <x:c r="L305" s="38" t="n">
        <x:v>1</x:v>
      </x:c>
      <x:c r="M305" s="38" t="str">
        <x:v>Unidad</x:v>
      </x:c>
      <x:c r="N305" s="38" t="n">
        <x:v>1</x:v>
      </x:c>
      <x:c r="O305" s="38" t="str">
        <x:v>Unidad</x:v>
      </x:c>
      <x:c r="P305" s="99" t="n">
        <x:v>2.462</x:v>
      </x:c>
      <x:c r="Q305" s="114" t="n">
        <x:v>0</x:v>
      </x:c>
      <x:c r="R305" s="99" t="n">
        <x:v>2.46</x:v>
      </x:c>
      <x:c r="S305" s="99" t="n">
        <x:f>IFERROR(R305/L305,P305*(1-Q305))</x:f>
        <x:v>2.46</x:v>
      </x:c>
      <x:c r="T305" s="114" t="n">
        <x:v>0.07</x:v>
      </x:c>
      <x:c r="U305" s="99" t="n">
        <x:f>S305*(1+T305)</x:f>
        <x:v>2.6322</x:v>
      </x:c>
      <x:c r="V305" s="99" t="n">
        <x:f>S305</x:f>
        <x:v>2.46</x:v>
      </x:c>
      <x:c r="W305" s="99" t="n">
        <x:f>V305-S305</x:f>
        <x:v>0</x:v>
      </x:c>
      <x:c r="X305" s="114" t="n">
        <x:f>IFERROR(W305/V305,0)</x:f>
        <x:v>0</x:v>
      </x:c>
      <x:c r="Y305" s="38" t="str">
        <x:v>Por unidad</x:v>
      </x:c>
      <x:c r="Z305" s="38" t="str">
        <x:f>IF(Y305="Botella / 3 instalaciones","Precio botella / 3",IF(Y305="Por rollo o metros proporcionales","Si se pasa rollo: rollo completo. Si se pasan metros: proporcional",Y305))</x:f>
        <x:v>Por unidad</x:v>
      </x:c>
      <x:c r="AA305" s="38" t="n">
        <x:v>1</x:v>
      </x:c>
      <x:c r="AB305" s="38" t="str"/>
      <x:c r="AC305" s="38" t="str"/>
      <x:c r="AD305" s="116" t="str">
        <x:v>2026-06-30</x:v>
      </x:c>
      <x:c r="AE305" s="38" t="str">
        <x:v>Sí</x:v>
      </x:c>
      <x:c r="AF305" s="38" t="str">
        <x:v>Revisar categoría antes de usar en cálculo automático.</x:v>
      </x:c>
    </x:row>
    <x:row r="306">
      <x:c r="A306" s="38" t="str">
        <x:v>MAT-0305</x:v>
      </x:c>
      <x:c r="B306" s="38" t="str">
        <x:v>Sí</x:v>
      </x:c>
      <x:c r="C306" s="38" t="str">
        <x:v>Sin clasificar</x:v>
      </x:c>
      <x:c r="D306" s="38" t="str"/>
      <x:c r="E306" s="38" t="str">
        <x:v>Conmutador Blanco 1M 16A</x:v>
      </x:c>
      <x:c r="F306" s="38" t="str">
        <x:v>CONMUTADOR BLANCO 1M 16A</x:v>
      </x:c>
      <x:c r="G306" s="38" t="str">
        <x:v>GEW-GW10051 / 910051</x:v>
      </x:c>
      <x:c r="H306" s="38" t="str">
        <x:v>Comercial Eléctrica Canarias, S.A.</x:v>
      </x:c>
      <x:c r="I306" s="38" t="str">
        <x:v>Factura 92010826</x:v>
      </x:c>
      <x:c r="J306" s="115" t="str">
        <x:v>15/05/2026</x:v>
      </x:c>
      <x:c r="K306" s="38" t="str">
        <x:v>Albarán 132.283/013 (04/05/2026)</x:v>
      </x:c>
      <x:c r="L306" s="38" t="n">
        <x:v>2</x:v>
      </x:c>
      <x:c r="M306" s="38" t="str">
        <x:v>Unidad</x:v>
      </x:c>
      <x:c r="N306" s="38" t="n">
        <x:v>1</x:v>
      </x:c>
      <x:c r="O306" s="38" t="str">
        <x:v>Unidad</x:v>
      </x:c>
      <x:c r="P306" s="99" t="n">
        <x:v>2.496</x:v>
      </x:c>
      <x:c r="Q306" s="114" t="n">
        <x:v>0</x:v>
      </x:c>
      <x:c r="R306" s="99" t="n">
        <x:v>4.99</x:v>
      </x:c>
      <x:c r="S306" s="99" t="n">
        <x:f>IFERROR(R306/L306,P306*(1-Q306))</x:f>
        <x:v>2.495</x:v>
      </x:c>
      <x:c r="T306" s="114" t="n">
        <x:v>0.07</x:v>
      </x:c>
      <x:c r="U306" s="99" t="n">
        <x:f>S306*(1+T306)</x:f>
        <x:v>2.6696500000000003</x:v>
      </x:c>
      <x:c r="V306" s="99" t="n">
        <x:f>S306</x:f>
        <x:v>2.495</x:v>
      </x:c>
      <x:c r="W306" s="99" t="n">
        <x:f>V306-S306</x:f>
        <x:v>0</x:v>
      </x:c>
      <x:c r="X306" s="114" t="n">
        <x:f>IFERROR(W306/V306,0)</x:f>
        <x:v>0</x:v>
      </x:c>
      <x:c r="Y306" s="38" t="str">
        <x:v>Por unidad</x:v>
      </x:c>
      <x:c r="Z306" s="38" t="str">
        <x:f>IF(Y306="Botella / 3 instalaciones","Precio botella / 3",IF(Y306="Por rollo o metros proporcionales","Si se pasa rollo: rollo completo. Si se pasan metros: proporcional",Y306))</x:f>
        <x:v>Por unidad</x:v>
      </x:c>
      <x:c r="AA306" s="38" t="n">
        <x:v>1</x:v>
      </x:c>
      <x:c r="AB306" s="38" t="str"/>
      <x:c r="AC306" s="38" t="str"/>
      <x:c r="AD306" s="116" t="str">
        <x:v>2026-06-30</x:v>
      </x:c>
      <x:c r="AE306" s="38" t="str">
        <x:v>Sí</x:v>
      </x:c>
      <x:c r="AF306" s="38" t="str">
        <x:v>Revisar categoría antes de usar en cálculo automático.</x:v>
      </x:c>
    </x:row>
    <x:row r="307">
      <x:c r="A307" s="38" t="str">
        <x:v>MAT-0306</x:v>
      </x:c>
      <x:c r="B307" s="38" t="str">
        <x:v>Sí</x:v>
      </x:c>
      <x:c r="C307" s="38" t="str">
        <x:v>Sin clasificar</x:v>
      </x:c>
      <x:c r="D307" s="38" t="str"/>
      <x:c r="E307" s="38" t="str">
        <x:v>Placa One Univ.2H Blanco Tb</x:v>
      </x:c>
      <x:c r="F307" s="38" t="str">
        <x:v>PLACA ONE UNIV.2H BLANCO TB</x:v>
      </x:c>
      <x:c r="G307" s="38" t="str">
        <x:v>GEW-GW16122TB / 91612200</x:v>
      </x:c>
      <x:c r="H307" s="38" t="str">
        <x:v>Comercial Eléctrica Canarias, S.A.</x:v>
      </x:c>
      <x:c r="I307" s="38" t="str">
        <x:v>Factura 92010826</x:v>
      </x:c>
      <x:c r="J307" s="115" t="str">
        <x:v>15/05/2026</x:v>
      </x:c>
      <x:c r="K307" s="38" t="str">
        <x:v>Albarán 132.283/013 (04/05/2026)</x:v>
      </x:c>
      <x:c r="L307" s="38" t="n">
        <x:v>18</x:v>
      </x:c>
      <x:c r="M307" s="38" t="str">
        <x:v>Unidad</x:v>
      </x:c>
      <x:c r="N307" s="38" t="n">
        <x:v>1</x:v>
      </x:c>
      <x:c r="O307" s="38" t="str">
        <x:v>Unidad</x:v>
      </x:c>
      <x:c r="P307" s="99" t="n">
        <x:v>1.107</x:v>
      </x:c>
      <x:c r="Q307" s="114" t="n">
        <x:v>0</x:v>
      </x:c>
      <x:c r="R307" s="99" t="n">
        <x:v>19.93</x:v>
      </x:c>
      <x:c r="S307" s="99" t="n">
        <x:f>IFERROR(R307/L307,P307*(1-Q307))</x:f>
        <x:v>1.107222222222222</x:v>
      </x:c>
      <x:c r="T307" s="114" t="n">
        <x:v>0.07</x:v>
      </x:c>
      <x:c r="U307" s="99" t="n">
        <x:f>S307*(1+T307)</x:f>
        <x:v>1.1847277777777778</x:v>
      </x:c>
      <x:c r="V307" s="99" t="n">
        <x:f>S307</x:f>
        <x:v>1.107222222222222</x:v>
      </x:c>
      <x:c r="W307" s="99" t="n">
        <x:f>V307-S307</x:f>
        <x:v>0</x:v>
      </x:c>
      <x:c r="X307" s="114" t="n">
        <x:f>IFERROR(W307/V307,0)</x:f>
        <x:v>0</x:v>
      </x:c>
      <x:c r="Y307" s="38" t="str">
        <x:v>Por unidad</x:v>
      </x:c>
      <x:c r="Z307" s="38" t="str">
        <x:f>IF(Y307="Botella / 3 instalaciones","Precio botella / 3",IF(Y307="Por rollo o metros proporcionales","Si se pasa rollo: rollo completo. Si se pasan metros: proporcional",Y307))</x:f>
        <x:v>Por unidad</x:v>
      </x:c>
      <x:c r="AA307" s="38" t="n">
        <x:v>1</x:v>
      </x:c>
      <x:c r="AB307" s="38" t="str"/>
      <x:c r="AC307" s="38" t="str"/>
      <x:c r="AD307" s="116" t="str">
        <x:v>2026-06-30</x:v>
      </x:c>
      <x:c r="AE307" s="38" t="str">
        <x:v>Sí</x:v>
      </x:c>
      <x:c r="AF307" s="38" t="str">
        <x:v>Revisar categoría antes de usar en cálculo automático.</x:v>
      </x:c>
    </x:row>
    <x:row r="308">
      <x:c r="A308" s="38" t="str">
        <x:v>MAT-0307</x:v>
      </x:c>
      <x:c r="B308" s="38" t="str">
        <x:v>Sí</x:v>
      </x:c>
      <x:c r="C308" s="38" t="str">
        <x:v>Electricidad</x:v>
      </x:c>
      <x:c r="D308" s="38" t="str">
        <x:v>Cable eléctrico</x:v>
      </x:c>
      <x:c r="E308" s="38" t="str">
        <x:v>Cable H07Z1-K Cpr 1X6 Azul</x:v>
      </x:c>
      <x:c r="F308" s="38" t="str">
        <x:v>CABLE H07Z1-K CPR 1X6 AZUL</x:v>
      </x:c>
      <x:c r="G308" s="38" t="str">
        <x:v>CABLE / 555175</x:v>
      </x:c>
      <x:c r="H308" s="38" t="str">
        <x:v>Comercial Eléctrica Canarias, S.A.</x:v>
      </x:c>
      <x:c r="I308" s="38" t="str">
        <x:v>Factura 92010826</x:v>
      </x:c>
      <x:c r="J308" s="115" t="str">
        <x:v>15/05/2026</x:v>
      </x:c>
      <x:c r="K308" s="38" t="str">
        <x:v>Albarán 132.283/013 (04/05/2026)</x:v>
      </x:c>
      <x:c r="L308" s="38" t="n">
        <x:v>100</x:v>
      </x:c>
      <x:c r="M308" s="38" t="str">
        <x:v>Metro</x:v>
      </x:c>
      <x:c r="N308" s="38" t="n">
        <x:v>1</x:v>
      </x:c>
      <x:c r="O308" s="38" t="str">
        <x:v>Metro</x:v>
      </x:c>
      <x:c r="P308" s="99" t="n">
        <x:v>0.827</x:v>
      </x:c>
      <x:c r="Q308" s="114" t="n">
        <x:v>0</x:v>
      </x:c>
      <x:c r="R308" s="99" t="n">
        <x:v>82.7</x:v>
      </x:c>
      <x:c r="S308" s="99" t="n">
        <x:f>IFERROR(R308/L308,P308*(1-Q308))</x:f>
        <x:v>0.8270000000000001</x:v>
      </x:c>
      <x:c r="T308" s="114" t="n">
        <x:v>0.07</x:v>
      </x:c>
      <x:c r="U308" s="99" t="n">
        <x:f>S308*(1+T308)</x:f>
        <x:v>0.8848900000000002</x:v>
      </x:c>
      <x:c r="V308" s="99" t="n">
        <x:f>S308</x:f>
        <x:v>0.8270000000000001</x:v>
      </x:c>
      <x:c r="W308" s="99" t="n">
        <x:f>V308-S308</x:f>
        <x:v>0</x:v>
      </x:c>
      <x:c r="X308" s="114" t="n">
        <x:f>IFERROR(W308/V308,0)</x:f>
        <x:v>0</x:v>
      </x:c>
      <x:c r="Y308" s="38" t="str">
        <x:v>Por metros</x:v>
      </x:c>
      <x:c r="Z308" s="38" t="str">
        <x:f>IF(Y308="Botella / 3 instalaciones","Precio botella / 3",IF(Y308="Por rollo o metros proporcionales","Si se pasa rollo: rollo completo. Si se pasan metros: proporcional",Y308))</x:f>
        <x:v>Por metros</x:v>
      </x:c>
      <x:c r="AA308" s="38" t="n">
        <x:v>1</x:v>
      </x:c>
      <x:c r="AB308" s="38" t="str"/>
      <x:c r="AC308" s="38" t="str"/>
      <x:c r="AD308" s="116" t="str">
        <x:v>2026-06-30</x:v>
      </x:c>
      <x:c r="AE308" s="38" t="str">
        <x:v>No</x:v>
      </x:c>
      <x:c r="AF308" s="38" t="str"/>
    </x:row>
    <x:row r="309">
      <x:c r="A309" s="38" t="str">
        <x:v>MAT-0308</x:v>
      </x:c>
      <x:c r="B309" s="38" t="str">
        <x:v>Sí</x:v>
      </x:c>
      <x:c r="C309" s="38" t="str">
        <x:v>Electricidad</x:v>
      </x:c>
      <x:c r="D309" s="38" t="str">
        <x:v>Cable eléctrico</x:v>
      </x:c>
      <x:c r="E309" s="38" t="str">
        <x:v>Cable H07Z1-K Cpr 1X6 Am/Vde</x:v>
      </x:c>
      <x:c r="F309" s="38" t="str">
        <x:v>CABLE H07Z1-K CPR 1X6 AM/VDE</x:v>
      </x:c>
      <x:c r="G309" s="38" t="str">
        <x:v>CABLE / 555176</x:v>
      </x:c>
      <x:c r="H309" s="38" t="str">
        <x:v>Comercial Eléctrica Canarias, S.A.</x:v>
      </x:c>
      <x:c r="I309" s="38" t="str">
        <x:v>Factura 92010826</x:v>
      </x:c>
      <x:c r="J309" s="115" t="str">
        <x:v>15/05/2026</x:v>
      </x:c>
      <x:c r="K309" s="38" t="str">
        <x:v>Albarán 132.283/013 (04/05/2026)</x:v>
      </x:c>
      <x:c r="L309" s="38" t="n">
        <x:v>100</x:v>
      </x:c>
      <x:c r="M309" s="38" t="str">
        <x:v>Metro</x:v>
      </x:c>
      <x:c r="N309" s="38" t="n">
        <x:v>1</x:v>
      </x:c>
      <x:c r="O309" s="38" t="str">
        <x:v>Metro</x:v>
      </x:c>
      <x:c r="P309" s="99" t="n">
        <x:v>0.827</x:v>
      </x:c>
      <x:c r="Q309" s="114" t="n">
        <x:v>0</x:v>
      </x:c>
      <x:c r="R309" s="99" t="n">
        <x:v>82.7</x:v>
      </x:c>
      <x:c r="S309" s="99" t="n">
        <x:f>IFERROR(R309/L309,P309*(1-Q309))</x:f>
        <x:v>0.8270000000000001</x:v>
      </x:c>
      <x:c r="T309" s="114" t="n">
        <x:v>0.07</x:v>
      </x:c>
      <x:c r="U309" s="99" t="n">
        <x:f>S309*(1+T309)</x:f>
        <x:v>0.8848900000000002</x:v>
      </x:c>
      <x:c r="V309" s="99" t="n">
        <x:f>S309</x:f>
        <x:v>0.8270000000000001</x:v>
      </x:c>
      <x:c r="W309" s="99" t="n">
        <x:f>V309-S309</x:f>
        <x:v>0</x:v>
      </x:c>
      <x:c r="X309" s="114" t="n">
        <x:f>IFERROR(W309/V309,0)</x:f>
        <x:v>0</x:v>
      </x:c>
      <x:c r="Y309" s="38" t="str">
        <x:v>Por metros</x:v>
      </x:c>
      <x:c r="Z309" s="38" t="str">
        <x:f>IF(Y309="Botella / 3 instalaciones","Precio botella / 3",IF(Y309="Por rollo o metros proporcionales","Si se pasa rollo: rollo completo. Si se pasan metros: proporcional",Y309))</x:f>
        <x:v>Por metros</x:v>
      </x:c>
      <x:c r="AA309" s="38" t="n">
        <x:v>1</x:v>
      </x:c>
      <x:c r="AB309" s="38" t="str"/>
      <x:c r="AC309" s="38" t="str"/>
      <x:c r="AD309" s="116" t="str">
        <x:v>2026-06-30</x:v>
      </x:c>
      <x:c r="AE309" s="38" t="str">
        <x:v>No</x:v>
      </x:c>
      <x:c r="AF309" s="38" t="str"/>
    </x:row>
    <x:row r="310">
      <x:c r="A310" s="38" t="str">
        <x:v>MAT-0309</x:v>
      </x:c>
      <x:c r="B310" s="38" t="str">
        <x:v>Sí</x:v>
      </x:c>
      <x:c r="C310" s="38" t="str">
        <x:v>Sin clasificar</x:v>
      </x:c>
      <x:c r="D310" s="38" t="str"/>
      <x:c r="E310" s="38" t="str">
        <x:v>Borna Acoplables S-2535</x:v>
      </x:c>
      <x:c r="F310" s="38" t="str">
        <x:v>BORNA ACOPLABLES S-2535</x:v>
      </x:c>
      <x:c r="G310" s="38" t="str">
        <x:v>EBX-10220304 / 12121</x:v>
      </x:c>
      <x:c r="H310" s="38" t="str">
        <x:v>Comercial Eléctrica Canarias, S.A.</x:v>
      </x:c>
      <x:c r="I310" s="38" t="str">
        <x:v>Factura 92010826</x:v>
      </x:c>
      <x:c r="J310" s="115" t="str">
        <x:v>15/05/2026</x:v>
      </x:c>
      <x:c r="K310" s="38" t="str">
        <x:v>Albarán 132.283/013 (04/05/2026)</x:v>
      </x:c>
      <x:c r="L310" s="38" t="n">
        <x:v>1</x:v>
      </x:c>
      <x:c r="M310" s="38" t="str">
        <x:v>Unidad</x:v>
      </x:c>
      <x:c r="N310" s="38" t="n">
        <x:v>1</x:v>
      </x:c>
      <x:c r="O310" s="38" t="str">
        <x:v>Unidad</x:v>
      </x:c>
      <x:c r="P310" s="99" t="n">
        <x:v>3.387</x:v>
      </x:c>
      <x:c r="Q310" s="114" t="n">
        <x:v>0</x:v>
      </x:c>
      <x:c r="R310" s="99" t="n">
        <x:v>3.39</x:v>
      </x:c>
      <x:c r="S310" s="99" t="n">
        <x:f>IFERROR(R310/L310,P310*(1-Q310))</x:f>
        <x:v>3.39</x:v>
      </x:c>
      <x:c r="T310" s="114" t="n">
        <x:v>0.07</x:v>
      </x:c>
      <x:c r="U310" s="99" t="n">
        <x:f>S310*(1+T310)</x:f>
        <x:v>3.6273000000000004</x:v>
      </x:c>
      <x:c r="V310" s="99" t="n">
        <x:f>S310</x:f>
        <x:v>3.39</x:v>
      </x:c>
      <x:c r="W310" s="99" t="n">
        <x:f>V310-S310</x:f>
        <x:v>0</x:v>
      </x:c>
      <x:c r="X310" s="114" t="n">
        <x:f>IFERROR(W310/V310,0)</x:f>
        <x:v>0</x:v>
      </x:c>
      <x:c r="Y310" s="38" t="str">
        <x:v>Por unidad</x:v>
      </x:c>
      <x:c r="Z310" s="38" t="str">
        <x:f>IF(Y310="Botella / 3 instalaciones","Precio botella / 3",IF(Y310="Por rollo o metros proporcionales","Si se pasa rollo: rollo completo. Si se pasan metros: proporcional",Y310))</x:f>
        <x:v>Por unidad</x:v>
      </x:c>
      <x:c r="AA310" s="38" t="n">
        <x:v>1</x:v>
      </x:c>
      <x:c r="AB310" s="38" t="str"/>
      <x:c r="AC310" s="38" t="str"/>
      <x:c r="AD310" s="116" t="str">
        <x:v>2026-06-30</x:v>
      </x:c>
      <x:c r="AE310" s="38" t="str">
        <x:v>Sí</x:v>
      </x:c>
      <x:c r="AF310" s="38" t="str">
        <x:v>Revisar categoría antes de usar en cálculo automático.</x:v>
      </x:c>
    </x:row>
    <x:row r="311">
      <x:c r="A311" s="38" t="str">
        <x:v>MAT-0310</x:v>
      </x:c>
      <x:c r="B311" s="38" t="str">
        <x:v>Sí</x:v>
      </x:c>
      <x:c r="C311" s="38" t="str">
        <x:v>Sin clasificar</x:v>
      </x:c>
      <x:c r="D311" s="38" t="str"/>
      <x:c r="E311" s="38" t="str">
        <x:v>Downlight Led 12W 6500K Blanco</x:v>
      </x:c>
      <x:c r="F311" s="38" t="str">
        <x:v>DOWNLIGHT LED 12W 6500K BLANCO</x:v>
      </x:c>
      <x:c r="G311" s="38" t="str">
        <x:v>RBL-LEDPANEL12 / 592193</x:v>
      </x:c>
      <x:c r="H311" s="38" t="str">
        <x:v>Comercial Eléctrica Canarias, S.A.</x:v>
      </x:c>
      <x:c r="I311" s="38" t="str">
        <x:v>Factura 92010826</x:v>
      </x:c>
      <x:c r="J311" s="115" t="str">
        <x:v>15/05/2026</x:v>
      </x:c>
      <x:c r="K311" s="38" t="str">
        <x:v>Albarán 132.283/013 (04/05/2026)</x:v>
      </x:c>
      <x:c r="L311" s="38" t="n">
        <x:v>6</x:v>
      </x:c>
      <x:c r="M311" s="38" t="str">
        <x:v>Unidad</x:v>
      </x:c>
      <x:c r="N311" s="38" t="n">
        <x:v>1</x:v>
      </x:c>
      <x:c r="O311" s="38" t="str">
        <x:v>Unidad</x:v>
      </x:c>
      <x:c r="P311" s="99" t="n">
        <x:v>5.853</x:v>
      </x:c>
      <x:c r="Q311" s="114" t="n">
        <x:v>0</x:v>
      </x:c>
      <x:c r="R311" s="99" t="n">
        <x:v>35.6</x:v>
      </x:c>
      <x:c r="S311" s="99" t="n">
        <x:f>IFERROR(R311/L311,P311*(1-Q311))</x:f>
        <x:v>5.933333333333334</x:v>
      </x:c>
      <x:c r="T311" s="114" t="n">
        <x:v>0.07</x:v>
      </x:c>
      <x:c r="U311" s="99" t="n">
        <x:f>S311*(1+T311)</x:f>
        <x:v>6.348666666666667</x:v>
      </x:c>
      <x:c r="V311" s="99" t="n">
        <x:f>S311</x:f>
        <x:v>5.933333333333334</x:v>
      </x:c>
      <x:c r="W311" s="99" t="n">
        <x:f>V311-S311</x:f>
        <x:v>0</x:v>
      </x:c>
      <x:c r="X311" s="114" t="n">
        <x:f>IFERROR(W311/V311,0)</x:f>
        <x:v>0</x:v>
      </x:c>
      <x:c r="Y311" s="38" t="str">
        <x:v>Por unidad</x:v>
      </x:c>
      <x:c r="Z311" s="38" t="str">
        <x:f>IF(Y311="Botella / 3 instalaciones","Precio botella / 3",IF(Y311="Por rollo o metros proporcionales","Si se pasa rollo: rollo completo. Si se pasan metros: proporcional",Y311))</x:f>
        <x:v>Por unidad</x:v>
      </x:c>
      <x:c r="AA311" s="38" t="n">
        <x:v>1</x:v>
      </x:c>
      <x:c r="AB311" s="38" t="str"/>
      <x:c r="AC311" s="38" t="str"/>
      <x:c r="AD311" s="116" t="str">
        <x:v>2026-06-30</x:v>
      </x:c>
      <x:c r="AE311" s="38" t="str">
        <x:v>Sí</x:v>
      </x:c>
      <x:c r="AF311" s="38" t="str">
        <x:v>Revisar categoría antes de usar en cálculo automático.</x:v>
      </x:c>
    </x:row>
    <x:row r="312">
      <x:c r="A312" s="38" t="str">
        <x:v>MAT-0311</x:v>
      </x:c>
      <x:c r="B312" s="38" t="str">
        <x:v>Sí</x:v>
      </x:c>
      <x:c r="C312" s="38" t="str">
        <x:v>Sin clasificar</x:v>
      </x:c>
      <x:c r="D312" s="38" t="str"/>
      <x:c r="E312" s="38" t="str">
        <x:v>Base Bip.T/T 25A 250V Empo.Bla</x:v>
      </x:c>
      <x:c r="F312" s="38" t="str">
        <x:v>BASE BIP.T/T 25A 250V EMPO.BLA</x:v>
      </x:c>
      <x:c r="G312" s="38" t="str">
        <x:v>SOL-6827K / 8682700</x:v>
      </x:c>
      <x:c r="H312" s="38" t="str">
        <x:v>Comercial Eléctrica Canarias, S.A.</x:v>
      </x:c>
      <x:c r="I312" s="38" t="str">
        <x:v>Factura 92010826</x:v>
      </x:c>
      <x:c r="J312" s="115" t="str">
        <x:v>15/05/2026</x:v>
      </x:c>
      <x:c r="K312" s="38" t="str">
        <x:v>Albarán 132.283/013 (04/05/2026)</x:v>
      </x:c>
      <x:c r="L312" s="38" t="n">
        <x:v>1</x:v>
      </x:c>
      <x:c r="M312" s="38" t="str">
        <x:v>Unidad</x:v>
      </x:c>
      <x:c r="N312" s="38" t="n">
        <x:v>1</x:v>
      </x:c>
      <x:c r="O312" s="38" t="str">
        <x:v>Unidad</x:v>
      </x:c>
      <x:c r="P312" s="99" t="n">
        <x:v>4.85</x:v>
      </x:c>
      <x:c r="Q312" s="114" t="n">
        <x:v>0</x:v>
      </x:c>
      <x:c r="R312" s="99" t="n">
        <x:v>4.85</x:v>
      </x:c>
      <x:c r="S312" s="99" t="n">
        <x:f>IFERROR(R312/L312,P312*(1-Q312))</x:f>
        <x:v>4.85</x:v>
      </x:c>
      <x:c r="T312" s="114" t="n">
        <x:v>0.07</x:v>
      </x:c>
      <x:c r="U312" s="99" t="n">
        <x:f>S312*(1+T312)</x:f>
        <x:v>5.1895</x:v>
      </x:c>
      <x:c r="V312" s="99" t="n">
        <x:f>S312</x:f>
        <x:v>4.85</x:v>
      </x:c>
      <x:c r="W312" s="99" t="n">
        <x:f>V312-S312</x:f>
        <x:v>0</x:v>
      </x:c>
      <x:c r="X312" s="114" t="n">
        <x:f>IFERROR(W312/V312,0)</x:f>
        <x:v>0</x:v>
      </x:c>
      <x:c r="Y312" s="38" t="str">
        <x:v>Por unidad</x:v>
      </x:c>
      <x:c r="Z312" s="38" t="str">
        <x:f>IF(Y312="Botella / 3 instalaciones","Precio botella / 3",IF(Y312="Por rollo o metros proporcionales","Si se pasa rollo: rollo completo. Si se pasan metros: proporcional",Y312))</x:f>
        <x:v>Por unidad</x:v>
      </x:c>
      <x:c r="AA312" s="38" t="n">
        <x:v>1</x:v>
      </x:c>
      <x:c r="AB312" s="38" t="str"/>
      <x:c r="AC312" s="38" t="str"/>
      <x:c r="AD312" s="116" t="str">
        <x:v>2026-06-30</x:v>
      </x:c>
      <x:c r="AE312" s="38" t="str">
        <x:v>Sí</x:v>
      </x:c>
      <x:c r="AF312" s="38" t="str">
        <x:v>Revisar categoría antes de usar en cálculo automático.</x:v>
      </x:c>
    </x:row>
    <x:row r="313">
      <x:c r="A313" s="38" t="str">
        <x:v>MAT-0312</x:v>
      </x:c>
      <x:c r="B313" s="38" t="str">
        <x:v>Sí</x:v>
      </x:c>
      <x:c r="C313" s="38" t="str">
        <x:v>Sin clasificar</x:v>
      </x:c>
      <x:c r="D313" s="38" t="str"/>
      <x:c r="E313" s="38" t="str">
        <x:v>Clav.Bip.T/T 25A 250V Cocina</x:v>
      </x:c>
      <x:c r="F313" s="38" t="str">
        <x:v>CLAV.BIP.T/T 25A 250V COCINA</x:v>
      </x:c>
      <x:c r="G313" s="38" t="str">
        <x:v>SOL-6828K / 8682800</x:v>
      </x:c>
      <x:c r="H313" s="38" t="str">
        <x:v>Comercial Eléctrica Canarias, S.A.</x:v>
      </x:c>
      <x:c r="I313" s="38" t="str">
        <x:v>Factura 92010826</x:v>
      </x:c>
      <x:c r="J313" s="115" t="str">
        <x:v>15/05/2026</x:v>
      </x:c>
      <x:c r="K313" s="38" t="str">
        <x:v>Albarán 132.283/013 (04/05/2026)</x:v>
      </x:c>
      <x:c r="L313" s="38" t="n">
        <x:v>1</x:v>
      </x:c>
      <x:c r="M313" s="38" t="str">
        <x:v>Unidad</x:v>
      </x:c>
      <x:c r="N313" s="38" t="n">
        <x:v>1</x:v>
      </x:c>
      <x:c r="O313" s="38" t="str">
        <x:v>Unidad</x:v>
      </x:c>
      <x:c r="P313" s="99" t="n">
        <x:v>5.7</x:v>
      </x:c>
      <x:c r="Q313" s="114" t="n">
        <x:v>0</x:v>
      </x:c>
      <x:c r="R313" s="99" t="n">
        <x:v>5.7</x:v>
      </x:c>
      <x:c r="S313" s="99" t="n">
        <x:f>IFERROR(R313/L313,P313*(1-Q313))</x:f>
        <x:v>5.7</x:v>
      </x:c>
      <x:c r="T313" s="114" t="n">
        <x:v>0.07</x:v>
      </x:c>
      <x:c r="U313" s="99" t="n">
        <x:f>S313*(1+T313)</x:f>
        <x:v>6.099</x:v>
      </x:c>
      <x:c r="V313" s="99" t="n">
        <x:f>S313</x:f>
        <x:v>5.7</x:v>
      </x:c>
      <x:c r="W313" s="99" t="n">
        <x:f>V313-S313</x:f>
        <x:v>0</x:v>
      </x:c>
      <x:c r="X313" s="114" t="n">
        <x:f>IFERROR(W313/V313,0)</x:f>
        <x:v>0</x:v>
      </x:c>
      <x:c r="Y313" s="38" t="str">
        <x:v>Por unidad</x:v>
      </x:c>
      <x:c r="Z313" s="38" t="str">
        <x:f>IF(Y313="Botella / 3 instalaciones","Precio botella / 3",IF(Y313="Por rollo o metros proporcionales","Si se pasa rollo: rollo completo. Si se pasan metros: proporcional",Y313))</x:f>
        <x:v>Por unidad</x:v>
      </x:c>
      <x:c r="AA313" s="38" t="n">
        <x:v>1</x:v>
      </x:c>
      <x:c r="AB313" s="38" t="str"/>
      <x:c r="AC313" s="38" t="str"/>
      <x:c r="AD313" s="116" t="str">
        <x:v>2026-06-30</x:v>
      </x:c>
      <x:c r="AE313" s="38" t="str">
        <x:v>Sí</x:v>
      </x:c>
      <x:c r="AF313" s="38" t="str">
        <x:v>Revisar categoría antes de usar en cálculo automático.</x:v>
      </x:c>
    </x:row>
    <x:row r="314">
      <x:c r="A314" s="38" t="str">
        <x:v>MAT-0313</x:v>
      </x:c>
      <x:c r="B314" s="38" t="str">
        <x:v>Sí</x:v>
      </x:c>
      <x:c r="C314" s="38" t="str">
        <x:v>Electricidad</x:v>
      </x:c>
      <x:c r="D314" s="38" t="str">
        <x:v>Protección/cuadro</x:v>
      </x:c>
      <x:c r="E314" s="38" t="str">
        <x:v>Automatico 1P+N 16A 6Ka C</x:v>
      </x:c>
      <x:c r="F314" s="38" t="str">
        <x:v>AUTOMATICO 1P+N 16A 6kA C</x:v>
      </x:c>
      <x:c r="G314" s="38" t="str">
        <x:v>06122612R0 / 202026</x:v>
      </x:c>
      <x:c r="H314" s="38" t="str">
        <x:v>Comercial Eléctrica Canarias, S.A.</x:v>
      </x:c>
      <x:c r="I314" s="38" t="str">
        <x:v>Factura 92010826</x:v>
      </x:c>
      <x:c r="J314" s="115" t="str">
        <x:v>15/05/2026</x:v>
      </x:c>
      <x:c r="K314" s="38" t="str">
        <x:v>Albarán 132.283/013 (04/05/2026)</x:v>
      </x:c>
      <x:c r="L314" s="38" t="n">
        <x:v>1</x:v>
      </x:c>
      <x:c r="M314" s="38" t="str">
        <x:v>Unidad</x:v>
      </x:c>
      <x:c r="N314" s="38" t="n">
        <x:v>1</x:v>
      </x:c>
      <x:c r="O314" s="38" t="str">
        <x:v>Unidad</x:v>
      </x:c>
      <x:c r="P314" s="99" t="n">
        <x:v>2.76</x:v>
      </x:c>
      <x:c r="Q314" s="114" t="n">
        <x:v>0</x:v>
      </x:c>
      <x:c r="R314" s="99" t="n">
        <x:v>2.76</x:v>
      </x:c>
      <x:c r="S314" s="99" t="n">
        <x:f>IFERROR(R314/L314,P314*(1-Q314))</x:f>
        <x:v>2.76</x:v>
      </x:c>
      <x:c r="T314" s="114" t="n">
        <x:v>0.07</x:v>
      </x:c>
      <x:c r="U314" s="99" t="n">
        <x:f>S314*(1+T314)</x:f>
        <x:v>2.9532</x:v>
      </x:c>
      <x:c r="V314" s="99" t="n">
        <x:f>S314</x:f>
        <x:v>2.76</x:v>
      </x:c>
      <x:c r="W314" s="99" t="n">
        <x:f>V314-S314</x:f>
        <x:v>0</x:v>
      </x:c>
      <x:c r="X314" s="114" t="n">
        <x:f>IFERROR(W314/V314,0)</x:f>
        <x:v>0</x:v>
      </x:c>
      <x:c r="Y314" s="38" t="str">
        <x:v>Por unidad</x:v>
      </x:c>
      <x:c r="Z314" s="38" t="str">
        <x:f>IF(Y314="Botella / 3 instalaciones","Precio botella / 3",IF(Y314="Por rollo o metros proporcionales","Si se pasa rollo: rollo completo. Si se pasan metros: proporcional",Y314))</x:f>
        <x:v>Por unidad</x:v>
      </x:c>
      <x:c r="AA314" s="38" t="n">
        <x:v>1</x:v>
      </x:c>
      <x:c r="AB314" s="38" t="str"/>
      <x:c r="AC314" s="38" t="str"/>
      <x:c r="AD314" s="116" t="str">
        <x:v>2026-06-30</x:v>
      </x:c>
      <x:c r="AE314" s="38" t="str">
        <x:v>No</x:v>
      </x:c>
      <x:c r="AF314" s="38" t="str"/>
    </x:row>
    <x:row r="315">
      <x:c r="A315" s="38" t="str">
        <x:v>MAT-0314</x:v>
      </x:c>
      <x:c r="B315" s="38" t="str">
        <x:v>Sí</x:v>
      </x:c>
      <x:c r="C315" s="38" t="str">
        <x:v>Electricidad</x:v>
      </x:c>
      <x:c r="D315" s="38" t="str">
        <x:v>Protección/cuadro</x:v>
      </x:c>
      <x:c r="E315" s="38" t="str">
        <x:v>Automatico 1P+N 25A 6Ka C</x:v>
      </x:c>
      <x:c r="F315" s="38" t="str">
        <x:v>AUTOMATICO 1P+N 25A 6kA C</x:v>
      </x:c>
      <x:c r="G315" s="38" t="str">
        <x:v>06122614R0 / 202028</x:v>
      </x:c>
      <x:c r="H315" s="38" t="str">
        <x:v>Comercial Eléctrica Canarias, S.A.</x:v>
      </x:c>
      <x:c r="I315" s="38" t="str">
        <x:v>Factura 92010826</x:v>
      </x:c>
      <x:c r="J315" s="115" t="str">
        <x:v>15/05/2026</x:v>
      </x:c>
      <x:c r="K315" s="38" t="str">
        <x:v>Albarán 132.283/013 (04/05/2026)</x:v>
      </x:c>
      <x:c r="L315" s="38" t="n">
        <x:v>1</x:v>
      </x:c>
      <x:c r="M315" s="38" t="str">
        <x:v>Unidad</x:v>
      </x:c>
      <x:c r="N315" s="38" t="n">
        <x:v>1</x:v>
      </x:c>
      <x:c r="O315" s="38" t="str">
        <x:v>Unidad</x:v>
      </x:c>
      <x:c r="P315" s="99" t="n">
        <x:v>2.76</x:v>
      </x:c>
      <x:c r="Q315" s="114" t="n">
        <x:v>0</x:v>
      </x:c>
      <x:c r="R315" s="99" t="n">
        <x:v>2.76</x:v>
      </x:c>
      <x:c r="S315" s="99" t="n">
        <x:f>IFERROR(R315/L315,P315*(1-Q315))</x:f>
        <x:v>2.76</x:v>
      </x:c>
      <x:c r="T315" s="114" t="n">
        <x:v>0.07</x:v>
      </x:c>
      <x:c r="U315" s="99" t="n">
        <x:f>S315*(1+T315)</x:f>
        <x:v>2.9532</x:v>
      </x:c>
      <x:c r="V315" s="99" t="n">
        <x:f>S315</x:f>
        <x:v>2.76</x:v>
      </x:c>
      <x:c r="W315" s="99" t="n">
        <x:f>V315-S315</x:f>
        <x:v>0</x:v>
      </x:c>
      <x:c r="X315" s="114" t="n">
        <x:f>IFERROR(W315/V315,0)</x:f>
        <x:v>0</x:v>
      </x:c>
      <x:c r="Y315" s="38" t="str">
        <x:v>Por unidad</x:v>
      </x:c>
      <x:c r="Z315" s="38" t="str">
        <x:f>IF(Y315="Botella / 3 instalaciones","Precio botella / 3",IF(Y315="Por rollo o metros proporcionales","Si se pasa rollo: rollo completo. Si se pasan metros: proporcional",Y315))</x:f>
        <x:v>Por unidad</x:v>
      </x:c>
      <x:c r="AA315" s="38" t="n">
        <x:v>1</x:v>
      </x:c>
      <x:c r="AB315" s="38" t="str"/>
      <x:c r="AC315" s="38" t="str"/>
      <x:c r="AD315" s="116" t="str">
        <x:v>2026-06-30</x:v>
      </x:c>
      <x:c r="AE315" s="38" t="str">
        <x:v>No</x:v>
      </x:c>
      <x:c r="AF315" s="38" t="str"/>
    </x:row>
    <x:row r="316">
      <x:c r="A316" s="38" t="str">
        <x:v>MAT-0315</x:v>
      </x:c>
      <x:c r="B316" s="38" t="str">
        <x:v>Sí</x:v>
      </x:c>
      <x:c r="C316" s="38" t="str">
        <x:v>Sin clasificar</x:v>
      </x:c>
      <x:c r="D316" s="38" t="str"/>
      <x:c r="E316" s="38" t="str">
        <x:v>Placa One 2H Blanco Leche Tb</x:v>
      </x:c>
      <x:c r="F316" s="38" t="str">
        <x:v>PLACA ONE 2H BLANCO LECHE TB</x:v>
      </x:c>
      <x:c r="G316" s="38" t="str">
        <x:v>GEW-GW16102TB / 91610200</x:v>
      </x:c>
      <x:c r="H316" s="38" t="str">
        <x:v>Comercial Eléctrica Canarias, S.A.</x:v>
      </x:c>
      <x:c r="I316" s="38" t="str">
        <x:v>Factura 92010826</x:v>
      </x:c>
      <x:c r="J316" s="115" t="str">
        <x:v>15/05/2026</x:v>
      </x:c>
      <x:c r="K316" s="38" t="str">
        <x:v>Albarán 132.284/013 (04/05/2026)</x:v>
      </x:c>
      <x:c r="L316" s="38" t="n">
        <x:v>1</x:v>
      </x:c>
      <x:c r="M316" s="38" t="str">
        <x:v>Unidad</x:v>
      </x:c>
      <x:c r="N316" s="38" t="n">
        <x:v>1</x:v>
      </x:c>
      <x:c r="O316" s="38" t="str">
        <x:v>Unidad</x:v>
      </x:c>
      <x:c r="P316" s="99" t="n">
        <x:v>1.393</x:v>
      </x:c>
      <x:c r="Q316" s="114" t="n">
        <x:v>0</x:v>
      </x:c>
      <x:c r="R316" s="99" t="n">
        <x:v>1.39</x:v>
      </x:c>
      <x:c r="S316" s="99" t="n">
        <x:f>IFERROR(R316/L316,P316*(1-Q316))</x:f>
        <x:v>1.39</x:v>
      </x:c>
      <x:c r="T316" s="114" t="n">
        <x:v>0.07</x:v>
      </x:c>
      <x:c r="U316" s="99" t="n">
        <x:f>S316*(1+T316)</x:f>
        <x:v>1.4873</x:v>
      </x:c>
      <x:c r="V316" s="99" t="n">
        <x:f>S316</x:f>
        <x:v>1.39</x:v>
      </x:c>
      <x:c r="W316" s="99" t="n">
        <x:f>V316-S316</x:f>
        <x:v>0</x:v>
      </x:c>
      <x:c r="X316" s="114" t="n">
        <x:f>IFERROR(W316/V316,0)</x:f>
        <x:v>0</x:v>
      </x:c>
      <x:c r="Y316" s="38" t="str">
        <x:v>Por unidad</x:v>
      </x:c>
      <x:c r="Z316" s="38" t="str">
        <x:f>IF(Y316="Botella / 3 instalaciones","Precio botella / 3",IF(Y316="Por rollo o metros proporcionales","Si se pasa rollo: rollo completo. Si se pasan metros: proporcional",Y316))</x:f>
        <x:v>Por unidad</x:v>
      </x:c>
      <x:c r="AA316" s="38" t="n">
        <x:v>1</x:v>
      </x:c>
      <x:c r="AB316" s="38" t="str"/>
      <x:c r="AC316" s="38" t="str"/>
      <x:c r="AD316" s="116" t="str">
        <x:v>2026-06-30</x:v>
      </x:c>
      <x:c r="AE316" s="38" t="str">
        <x:v>Sí</x:v>
      </x:c>
      <x:c r="AF316" s="38" t="str">
        <x:v>Revisar categoría antes de usar en cálculo automático.</x:v>
      </x:c>
    </x:row>
    <x:row r="317">
      <x:c r="A317" s="38" t="str">
        <x:v>MAT-0316</x:v>
      </x:c>
      <x:c r="B317" s="38" t="str">
        <x:v>Sí</x:v>
      </x:c>
      <x:c r="C317" s="38" t="str">
        <x:v>Sin clasificar</x:v>
      </x:c>
      <x:c r="D317" s="38" t="str"/>
      <x:c r="E317" s="38" t="str">
        <x:v>Placa One 3H Blanco Leche Tb</x:v>
      </x:c>
      <x:c r="F317" s="38" t="str">
        <x:v>PLACA ONE 3H BLANCO LECHE TB</x:v>
      </x:c>
      <x:c r="G317" s="38" t="str">
        <x:v>GEW-GW16103TB / 91610300</x:v>
      </x:c>
      <x:c r="H317" s="38" t="str">
        <x:v>Comercial Eléctrica Canarias, S.A.</x:v>
      </x:c>
      <x:c r="I317" s="38" t="str">
        <x:v>Factura 92010826</x:v>
      </x:c>
      <x:c r="J317" s="115" t="str">
        <x:v>15/05/2026</x:v>
      </x:c>
      <x:c r="K317" s="38" t="str">
        <x:v>Albarán 132.284/013 (04/05/2026)</x:v>
      </x:c>
      <x:c r="L317" s="38" t="n">
        <x:v>2</x:v>
      </x:c>
      <x:c r="M317" s="38" t="str">
        <x:v>Unidad</x:v>
      </x:c>
      <x:c r="N317" s="38" t="n">
        <x:v>1</x:v>
      </x:c>
      <x:c r="O317" s="38" t="str">
        <x:v>Unidad</x:v>
      </x:c>
      <x:c r="P317" s="99" t="n">
        <x:v>1.5</x:v>
      </x:c>
      <x:c r="Q317" s="114" t="n">
        <x:v>0</x:v>
      </x:c>
      <x:c r="R317" s="99" t="n">
        <x:v>3</x:v>
      </x:c>
      <x:c r="S317" s="99" t="n">
        <x:f>IFERROR(R317/L317,P317*(1-Q317))</x:f>
        <x:v>1.5</x:v>
      </x:c>
      <x:c r="T317" s="114" t="n">
        <x:v>0.07</x:v>
      </x:c>
      <x:c r="U317" s="99" t="n">
        <x:f>S317*(1+T317)</x:f>
        <x:v>1.605</x:v>
      </x:c>
      <x:c r="V317" s="99" t="n">
        <x:f>S317</x:f>
        <x:v>1.5</x:v>
      </x:c>
      <x:c r="W317" s="99" t="n">
        <x:f>V317-S317</x:f>
        <x:v>0</x:v>
      </x:c>
      <x:c r="X317" s="114" t="n">
        <x:f>IFERROR(W317/V317,0)</x:f>
        <x:v>0</x:v>
      </x:c>
      <x:c r="Y317" s="38" t="str">
        <x:v>Por unidad</x:v>
      </x:c>
      <x:c r="Z317" s="38" t="str">
        <x:f>IF(Y317="Botella / 3 instalaciones","Precio botella / 3",IF(Y317="Por rollo o metros proporcionales","Si se pasa rollo: rollo completo. Si se pasan metros: proporcional",Y317))</x:f>
        <x:v>Por unidad</x:v>
      </x:c>
      <x:c r="AA317" s="38" t="n">
        <x:v>1</x:v>
      </x:c>
      <x:c r="AB317" s="38" t="str"/>
      <x:c r="AC317" s="38" t="str"/>
      <x:c r="AD317" s="116" t="str">
        <x:v>2026-06-30</x:v>
      </x:c>
      <x:c r="AE317" s="38" t="str">
        <x:v>Sí</x:v>
      </x:c>
      <x:c r="AF317" s="38" t="str">
        <x:v>Revisar categoría antes de usar en cálculo automático.</x:v>
      </x:c>
    </x:row>
    <x:row r="318">
      <x:c r="A318" s="38" t="str">
        <x:v>MAT-0317</x:v>
      </x:c>
      <x:c r="B318" s="38" t="str">
        <x:v>Sí</x:v>
      </x:c>
      <x:c r="C318" s="38" t="str">
        <x:v>Sin clasificar</x:v>
      </x:c>
      <x:c r="D318" s="38" t="str"/>
      <x:c r="E318" s="38" t="str">
        <x:v>Base Schuko Blanco 2M 16 N.Esp</x:v>
      </x:c>
      <x:c r="F318" s="38" t="str">
        <x:v>BASE SCHUKO BLANCO 2M 16 N.ESP</x:v>
      </x:c>
      <x:c r="G318" s="38" t="str">
        <x:v>GEW-GW10241 / 910241</x:v>
      </x:c>
      <x:c r="H318" s="38" t="str">
        <x:v>Comercial Eléctrica Canarias, S.A.</x:v>
      </x:c>
      <x:c r="I318" s="38" t="str">
        <x:v>Factura 92010826</x:v>
      </x:c>
      <x:c r="J318" s="115" t="str">
        <x:v>15/05/2026</x:v>
      </x:c>
      <x:c r="K318" s="38" t="str">
        <x:v>Albarán 132.284/013 (04/05/2026)</x:v>
      </x:c>
      <x:c r="L318" s="38" t="n">
        <x:v>1</x:v>
      </x:c>
      <x:c r="M318" s="38" t="str">
        <x:v>Unidad</x:v>
      </x:c>
      <x:c r="N318" s="38" t="n">
        <x:v>1</x:v>
      </x:c>
      <x:c r="O318" s="38" t="str">
        <x:v>Unidad</x:v>
      </x:c>
      <x:c r="P318" s="99" t="n">
        <x:v>2.877</x:v>
      </x:c>
      <x:c r="Q318" s="114" t="n">
        <x:v>0</x:v>
      </x:c>
      <x:c r="R318" s="99" t="n">
        <x:v>2.88</x:v>
      </x:c>
      <x:c r="S318" s="99" t="n">
        <x:f>IFERROR(R318/L318,P318*(1-Q318))</x:f>
        <x:v>2.88</x:v>
      </x:c>
      <x:c r="T318" s="114" t="n">
        <x:v>0.07</x:v>
      </x:c>
      <x:c r="U318" s="99" t="n">
        <x:f>S318*(1+T318)</x:f>
        <x:v>3.0816</x:v>
      </x:c>
      <x:c r="V318" s="99" t="n">
        <x:f>S318</x:f>
        <x:v>2.88</x:v>
      </x:c>
      <x:c r="W318" s="99" t="n">
        <x:f>V318-S318</x:f>
        <x:v>0</x:v>
      </x:c>
      <x:c r="X318" s="114" t="n">
        <x:f>IFERROR(W318/V318,0)</x:f>
        <x:v>0</x:v>
      </x:c>
      <x:c r="Y318" s="38" t="str">
        <x:v>Por unidad</x:v>
      </x:c>
      <x:c r="Z318" s="38" t="str">
        <x:f>IF(Y318="Botella / 3 instalaciones","Precio botella / 3",IF(Y318="Por rollo o metros proporcionales","Si se pasa rollo: rollo completo. Si se pasan metros: proporcional",Y318))</x:f>
        <x:v>Por unidad</x:v>
      </x:c>
      <x:c r="AA318" s="38" t="n">
        <x:v>1</x:v>
      </x:c>
      <x:c r="AB318" s="38" t="str"/>
      <x:c r="AC318" s="38" t="str"/>
      <x:c r="AD318" s="116" t="str">
        <x:v>2026-06-30</x:v>
      </x:c>
      <x:c r="AE318" s="38" t="str">
        <x:v>Sí</x:v>
      </x:c>
      <x:c r="AF318" s="38" t="str">
        <x:v>Revisar categoría antes de usar en cálculo automático.</x:v>
      </x:c>
    </x:row>
    <x:row r="319">
      <x:c r="A319" s="38" t="str">
        <x:v>MAT-0318</x:v>
      </x:c>
      <x:c r="B319" s="38" t="str">
        <x:v>Sí</x:v>
      </x:c>
      <x:c r="C319" s="38" t="str">
        <x:v>Sin clasificar</x:v>
      </x:c>
      <x:c r="D319" s="38" t="str"/>
      <x:c r="E319" s="38" t="str">
        <x:v>Conmutador Blanco 2M 16A</x:v>
      </x:c>
      <x:c r="F319" s="38" t="str">
        <x:v>CONMUTADOR BLANCO 2M 16A</x:v>
      </x:c>
      <x:c r="G319" s="38" t="str">
        <x:v>GEW-GW10071 / 910071</x:v>
      </x:c>
      <x:c r="H319" s="38" t="str">
        <x:v>Comercial Eléctrica Canarias, S.A.</x:v>
      </x:c>
      <x:c r="I319" s="38" t="str">
        <x:v>Factura 92010826</x:v>
      </x:c>
      <x:c r="J319" s="115" t="str">
        <x:v>15/05/2026</x:v>
      </x:c>
      <x:c r="K319" s="38" t="str">
        <x:v>Albarán 132.284/013 (04/05/2026)</x:v>
      </x:c>
      <x:c r="L319" s="38" t="n">
        <x:v>1</x:v>
      </x:c>
      <x:c r="M319" s="38" t="str">
        <x:v>Unidad</x:v>
      </x:c>
      <x:c r="N319" s="38" t="n">
        <x:v>1</x:v>
      </x:c>
      <x:c r="O319" s="38" t="str">
        <x:v>Unidad</x:v>
      </x:c>
      <x:c r="P319" s="99" t="n">
        <x:v>2.462</x:v>
      </x:c>
      <x:c r="Q319" s="114" t="n">
        <x:v>0</x:v>
      </x:c>
      <x:c r="R319" s="99" t="n">
        <x:v>2.46</x:v>
      </x:c>
      <x:c r="S319" s="99" t="n">
        <x:f>IFERROR(R319/L319,P319*(1-Q319))</x:f>
        <x:v>2.46</x:v>
      </x:c>
      <x:c r="T319" s="114" t="n">
        <x:v>0.07</x:v>
      </x:c>
      <x:c r="U319" s="99" t="n">
        <x:f>S319*(1+T319)</x:f>
        <x:v>2.6322</x:v>
      </x:c>
      <x:c r="V319" s="99" t="n">
        <x:f>S319</x:f>
        <x:v>2.46</x:v>
      </x:c>
      <x:c r="W319" s="99" t="n">
        <x:f>V319-S319</x:f>
        <x:v>0</x:v>
      </x:c>
      <x:c r="X319" s="114" t="n">
        <x:f>IFERROR(W319/V319,0)</x:f>
        <x:v>0</x:v>
      </x:c>
      <x:c r="Y319" s="38" t="str">
        <x:v>Por unidad</x:v>
      </x:c>
      <x:c r="Z319" s="38" t="str">
        <x:f>IF(Y319="Botella / 3 instalaciones","Precio botella / 3",IF(Y319="Por rollo o metros proporcionales","Si se pasa rollo: rollo completo. Si se pasan metros: proporcional",Y319))</x:f>
        <x:v>Por unidad</x:v>
      </x:c>
      <x:c r="AA319" s="38" t="n">
        <x:v>1</x:v>
      </x:c>
      <x:c r="AB319" s="38" t="str"/>
      <x:c r="AC319" s="38" t="str"/>
      <x:c r="AD319" s="116" t="str">
        <x:v>2026-06-30</x:v>
      </x:c>
      <x:c r="AE319" s="38" t="str">
        <x:v>Sí</x:v>
      </x:c>
      <x:c r="AF319" s="38" t="str">
        <x:v>Revisar categoría antes de usar en cálculo automático.</x:v>
      </x:c>
    </x:row>
    <x:row r="320">
      <x:c r="A320" s="38" t="str">
        <x:v>MAT-0319</x:v>
      </x:c>
      <x:c r="B320" s="38" t="str">
        <x:v>Sí</x:v>
      </x:c>
      <x:c r="C320" s="38" t="str">
        <x:v>Pequeño material</x:v>
      </x:c>
      <x:c r="D320" s="38" t="str">
        <x:v>Consumible</x:v>
      </x:c>
      <x:c r="E320" s="38" t="str">
        <x:v>Taco Ciego Blanco 1M</x:v>
      </x:c>
      <x:c r="F320" s="38" t="str">
        <x:v>TACO CIEGO BLANCO 1M</x:v>
      </x:c>
      <x:c r="G320" s="38" t="str">
        <x:v>GEW-GW10195 / 910195</x:v>
      </x:c>
      <x:c r="H320" s="38" t="str">
        <x:v>Comercial Eléctrica Canarias, S.A.</x:v>
      </x:c>
      <x:c r="I320" s="38" t="str">
        <x:v>Factura 92010826</x:v>
      </x:c>
      <x:c r="J320" s="115" t="str">
        <x:v>15/05/2026</x:v>
      </x:c>
      <x:c r="K320" s="38" t="str">
        <x:v>Albarán 132.284/013 (04/05/2026)</x:v>
      </x:c>
      <x:c r="L320" s="38" t="n">
        <x:v>1</x:v>
      </x:c>
      <x:c r="M320" s="38" t="str">
        <x:v>Unidad</x:v>
      </x:c>
      <x:c r="N320" s="38" t="n">
        <x:v>1</x:v>
      </x:c>
      <x:c r="O320" s="38" t="str">
        <x:v>Unidad</x:v>
      </x:c>
      <x:c r="P320" s="99" t="n">
        <x:v>0.701</x:v>
      </x:c>
      <x:c r="Q320" s="114" t="n">
        <x:v>0</x:v>
      </x:c>
      <x:c r="R320" s="99" t="n">
        <x:v>0.7</x:v>
      </x:c>
      <x:c r="S320" s="99" t="n">
        <x:f>IFERROR(R320/L320,P320*(1-Q320))</x:f>
        <x:v>0.7</x:v>
      </x:c>
      <x:c r="T320" s="114" t="n">
        <x:v>0.07</x:v>
      </x:c>
      <x:c r="U320" s="99" t="n">
        <x:f>S320*(1+T320)</x:f>
        <x:v>0.749</x:v>
      </x:c>
      <x:c r="V320" s="99" t="n">
        <x:f>S320</x:f>
        <x:v>0.7</x:v>
      </x:c>
      <x:c r="W320" s="99" t="n">
        <x:f>V320-S320</x:f>
        <x:v>0</x:v>
      </x:c>
      <x:c r="X320" s="114" t="n">
        <x:f>IFERROR(W320/V320,0)</x:f>
        <x:v>0</x:v>
      </x:c>
      <x:c r="Y320" s="38" t="str">
        <x:v>Por unidad</x:v>
      </x:c>
      <x:c r="Z320" s="38" t="str">
        <x:f>IF(Y320="Botella / 3 instalaciones","Precio botella / 3",IF(Y320="Por rollo o metros proporcionales","Si se pasa rollo: rollo completo. Si se pasan metros: proporcional",Y320))</x:f>
        <x:v>Por unidad</x:v>
      </x:c>
      <x:c r="AA320" s="38" t="n">
        <x:v>1</x:v>
      </x:c>
      <x:c r="AB320" s="38" t="str"/>
      <x:c r="AC320" s="38" t="str"/>
      <x:c r="AD320" s="116" t="str">
        <x:v>2026-06-30</x:v>
      </x:c>
      <x:c r="AE320" s="38" t="str">
        <x:v>No</x:v>
      </x:c>
      <x:c r="AF320" s="38" t="str"/>
    </x:row>
    <x:row r="321">
      <x:c r="A321" s="38" t="str">
        <x:v>MAT-0320</x:v>
      </x:c>
      <x:c r="B321" s="38" t="str">
        <x:v>Sí</x:v>
      </x:c>
      <x:c r="C321" s="38" t="str">
        <x:v>Soportes y fijaciones</x:v>
      </x:c>
      <x:c r="D321" s="38" t="str">
        <x:v>Soportes/amortiguadores</x:v>
      </x:c>
      <x:c r="E321" s="38" t="str">
        <x:v>Soporte 1 A 3M Caja Rect</x:v>
      </x:c>
      <x:c r="F321" s="38" t="str">
        <x:v>SOPORTE 1 a 3M CAJA RECT</x:v>
      </x:c>
      <x:c r="G321" s="38" t="str">
        <x:v>GEW-GW16803 / 916803</x:v>
      </x:c>
      <x:c r="H321" s="38" t="str">
        <x:v>Comercial Eléctrica Canarias, S.A.</x:v>
      </x:c>
      <x:c r="I321" s="38" t="str">
        <x:v>Factura 92010826</x:v>
      </x:c>
      <x:c r="J321" s="115" t="str">
        <x:v>15/05/2026</x:v>
      </x:c>
      <x:c r="K321" s="38" t="str">
        <x:v>Albarán 132.302/013 (04/05/2026)</x:v>
      </x:c>
      <x:c r="L321" s="38" t="n">
        <x:v>7</x:v>
      </x:c>
      <x:c r="M321" s="38" t="str">
        <x:v>Unidad</x:v>
      </x:c>
      <x:c r="N321" s="38" t="n">
        <x:v>1</x:v>
      </x:c>
      <x:c r="O321" s="38" t="str">
        <x:v>Unidad</x:v>
      </x:c>
      <x:c r="P321" s="99" t="n">
        <x:v>0.813</x:v>
      </x:c>
      <x:c r="Q321" s="114" t="n">
        <x:v>0</x:v>
      </x:c>
      <x:c r="R321" s="99" t="n">
        <x:v>5.69</x:v>
      </x:c>
      <x:c r="S321" s="99" t="n">
        <x:f>IFERROR(R321/L321,P321*(1-Q321))</x:f>
        <x:v>0.812857142857143</x:v>
      </x:c>
      <x:c r="T321" s="114" t="n">
        <x:v>0.07</x:v>
      </x:c>
      <x:c r="U321" s="99" t="n">
        <x:f>S321*(1+T321)</x:f>
        <x:v>0.869757142857143</x:v>
      </x:c>
      <x:c r="V321" s="99" t="n">
        <x:f>S321</x:f>
        <x:v>0.812857142857143</x:v>
      </x:c>
      <x:c r="W321" s="99" t="n">
        <x:f>V321-S321</x:f>
        <x:v>0</x:v>
      </x:c>
      <x:c r="X321" s="114" t="n">
        <x:f>IFERROR(W321/V321,0)</x:f>
        <x:v>0</x:v>
      </x:c>
      <x:c r="Y321" s="38" t="str">
        <x:v>Por unidad</x:v>
      </x:c>
      <x:c r="Z321" s="38" t="str">
        <x:f>IF(Y321="Botella / 3 instalaciones","Precio botella / 3",IF(Y321="Por rollo o metros proporcionales","Si se pasa rollo: rollo completo. Si se pasan metros: proporcional",Y321))</x:f>
        <x:v>Por unidad</x:v>
      </x:c>
      <x:c r="AA321" s="38" t="n">
        <x:v>1</x:v>
      </x:c>
      <x:c r="AB321" s="38" t="str"/>
      <x:c r="AC321" s="38" t="str"/>
      <x:c r="AD321" s="116" t="str">
        <x:v>2026-06-30</x:v>
      </x:c>
      <x:c r="AE321" s="38" t="str">
        <x:v>No</x:v>
      </x:c>
      <x:c r="AF321" s="38" t="str"/>
    </x:row>
    <x:row r="322">
      <x:c r="A322" s="38" t="str">
        <x:v>MAT-0321</x:v>
      </x:c>
      <x:c r="B322" s="38" t="str">
        <x:v>Sí</x:v>
      </x:c>
      <x:c r="C322" s="38" t="str">
        <x:v>Sin clasificar</x:v>
      </x:c>
      <x:c r="D322" s="38" t="str"/>
      <x:c r="E322" s="38" t="str">
        <x:v>Placa One 2H Blanco Leche Tb</x:v>
      </x:c>
      <x:c r="F322" s="38" t="str">
        <x:v>PLACA ONE 2H BLANCO LECHE TB</x:v>
      </x:c>
      <x:c r="G322" s="38" t="str">
        <x:v>GEW-GW16102TB / 91610200</x:v>
      </x:c>
      <x:c r="H322" s="38" t="str">
        <x:v>Comercial Eléctrica Canarias, S.A.</x:v>
      </x:c>
      <x:c r="I322" s="38" t="str">
        <x:v>Factura 92010826</x:v>
      </x:c>
      <x:c r="J322" s="115" t="str">
        <x:v>15/05/2026</x:v>
      </x:c>
      <x:c r="K322" s="38" t="str">
        <x:v>Albarán 132.302/013 (04/05/2026)</x:v>
      </x:c>
      <x:c r="L322" s="38" t="n">
        <x:v>6</x:v>
      </x:c>
      <x:c r="M322" s="38" t="str">
        <x:v>Unidad</x:v>
      </x:c>
      <x:c r="N322" s="38" t="n">
        <x:v>1</x:v>
      </x:c>
      <x:c r="O322" s="38" t="str">
        <x:v>Unidad</x:v>
      </x:c>
      <x:c r="P322" s="99" t="n">
        <x:v>1.393</x:v>
      </x:c>
      <x:c r="Q322" s="114" t="n">
        <x:v>0</x:v>
      </x:c>
      <x:c r="R322" s="99" t="n">
        <x:v>8.36</x:v>
      </x:c>
      <x:c r="S322" s="99" t="n">
        <x:f>IFERROR(R322/L322,P322*(1-Q322))</x:f>
        <x:v>1.3933333333333333</x:v>
      </x:c>
      <x:c r="T322" s="114" t="n">
        <x:v>0.07</x:v>
      </x:c>
      <x:c r="U322" s="99" t="n">
        <x:f>S322*(1+T322)</x:f>
        <x:v>1.4908666666666668</x:v>
      </x:c>
      <x:c r="V322" s="99" t="n">
        <x:f>S322</x:f>
        <x:v>1.3933333333333333</x:v>
      </x:c>
      <x:c r="W322" s="99" t="n">
        <x:f>V322-S322</x:f>
        <x:v>0</x:v>
      </x:c>
      <x:c r="X322" s="114" t="n">
        <x:f>IFERROR(W322/V322,0)</x:f>
        <x:v>0</x:v>
      </x:c>
      <x:c r="Y322" s="38" t="str">
        <x:v>Por unidad</x:v>
      </x:c>
      <x:c r="Z322" s="38" t="str">
        <x:f>IF(Y322="Botella / 3 instalaciones","Precio botella / 3",IF(Y322="Por rollo o metros proporcionales","Si se pasa rollo: rollo completo. Si se pasan metros: proporcional",Y322))</x:f>
        <x:v>Por unidad</x:v>
      </x:c>
      <x:c r="AA322" s="38" t="n">
        <x:v>1</x:v>
      </x:c>
      <x:c r="AB322" s="38" t="str"/>
      <x:c r="AC322" s="38" t="str"/>
      <x:c r="AD322" s="116" t="str">
        <x:v>2026-06-30</x:v>
      </x:c>
      <x:c r="AE322" s="38" t="str">
        <x:v>Sí</x:v>
      </x:c>
      <x:c r="AF322" s="38" t="str">
        <x:v>Revisar categoría antes de usar en cálculo automático.</x:v>
      </x:c>
    </x:row>
    <x:row r="323">
      <x:c r="A323" s="38" t="str">
        <x:v>MAT-0322</x:v>
      </x:c>
      <x:c r="B323" s="38" t="str">
        <x:v>Sí</x:v>
      </x:c>
      <x:c r="C323" s="38" t="str">
        <x:v>Sin clasificar</x:v>
      </x:c>
      <x:c r="D323" s="38" t="str"/>
      <x:c r="E323" s="38" t="str">
        <x:v>Placa One 3H Blanco Leche Tb</x:v>
      </x:c>
      <x:c r="F323" s="38" t="str">
        <x:v>PLACA ONE 3H BLANCO LECHE TB</x:v>
      </x:c>
      <x:c r="G323" s="38" t="str">
        <x:v>GEW-GW16103TB / 91610300</x:v>
      </x:c>
      <x:c r="H323" s="38" t="str">
        <x:v>Comercial Eléctrica Canarias, S.A.</x:v>
      </x:c>
      <x:c r="I323" s="38" t="str">
        <x:v>Factura 92010826</x:v>
      </x:c>
      <x:c r="J323" s="115" t="str">
        <x:v>15/05/2026</x:v>
      </x:c>
      <x:c r="K323" s="38" t="str">
        <x:v>Albarán 132.302/013 (04/05/2026)</x:v>
      </x:c>
      <x:c r="L323" s="38" t="n">
        <x:v>1</x:v>
      </x:c>
      <x:c r="M323" s="38" t="str">
        <x:v>Unidad</x:v>
      </x:c>
      <x:c r="N323" s="38" t="n">
        <x:v>1</x:v>
      </x:c>
      <x:c r="O323" s="38" t="str">
        <x:v>Unidad</x:v>
      </x:c>
      <x:c r="P323" s="99" t="n">
        <x:v>1.5</x:v>
      </x:c>
      <x:c r="Q323" s="114" t="n">
        <x:v>0</x:v>
      </x:c>
      <x:c r="R323" s="99" t="n">
        <x:v>1.5</x:v>
      </x:c>
      <x:c r="S323" s="99" t="n">
        <x:f>IFERROR(R323/L323,P323*(1-Q323))</x:f>
        <x:v>1.5</x:v>
      </x:c>
      <x:c r="T323" s="114" t="n">
        <x:v>0.07</x:v>
      </x:c>
      <x:c r="U323" s="99" t="n">
        <x:f>S323*(1+T323)</x:f>
        <x:v>1.605</x:v>
      </x:c>
      <x:c r="V323" s="99" t="n">
        <x:f>S323</x:f>
        <x:v>1.5</x:v>
      </x:c>
      <x:c r="W323" s="99" t="n">
        <x:f>V323-S323</x:f>
        <x:v>0</x:v>
      </x:c>
      <x:c r="X323" s="114" t="n">
        <x:f>IFERROR(W323/V323,0)</x:f>
        <x:v>0</x:v>
      </x:c>
      <x:c r="Y323" s="38" t="str">
        <x:v>Por unidad</x:v>
      </x:c>
      <x:c r="Z323" s="38" t="str">
        <x:f>IF(Y323="Botella / 3 instalaciones","Precio botella / 3",IF(Y323="Por rollo o metros proporcionales","Si se pasa rollo: rollo completo. Si se pasan metros: proporcional",Y323))</x:f>
        <x:v>Por unidad</x:v>
      </x:c>
      <x:c r="AA323" s="38" t="n">
        <x:v>1</x:v>
      </x:c>
      <x:c r="AB323" s="38" t="str"/>
      <x:c r="AC323" s="38" t="str"/>
      <x:c r="AD323" s="116" t="str">
        <x:v>2026-06-30</x:v>
      </x:c>
      <x:c r="AE323" s="38" t="str">
        <x:v>Sí</x:v>
      </x:c>
      <x:c r="AF323" s="38" t="str">
        <x:v>Revisar categoría antes de usar en cálculo automático.</x:v>
      </x:c>
    </x:row>
    <x:row r="324">
      <x:c r="A324" s="38" t="str">
        <x:v>MAT-0323</x:v>
      </x:c>
      <x:c r="B324" s="38" t="str">
        <x:v>Sí</x:v>
      </x:c>
      <x:c r="C324" s="38" t="str">
        <x:v>Sin clasificar</x:v>
      </x:c>
      <x:c r="D324" s="38" t="str"/>
      <x:c r="E324" s="38" t="str">
        <x:v>Placa One U.2+2+2H H Blanco Tb</x:v>
      </x:c>
      <x:c r="F324" s="38" t="str">
        <x:v>PLACA ONE U.2+2+2H H BLANCO TB</x:v>
      </x:c>
      <x:c r="G324" s="38" t="str">
        <x:v>GEW-GW16126TB / 91612600</x:v>
      </x:c>
      <x:c r="H324" s="38" t="str">
        <x:v>Comercial Eléctrica Canarias, S.A.</x:v>
      </x:c>
      <x:c r="I324" s="38" t="str">
        <x:v>Factura 92010826</x:v>
      </x:c>
      <x:c r="J324" s="115" t="str">
        <x:v>15/05/2026</x:v>
      </x:c>
      <x:c r="K324" s="38" t="str">
        <x:v>Albarán 132.302/013 (04/05/2026)</x:v>
      </x:c>
      <x:c r="L324" s="38" t="n">
        <x:v>1</x:v>
      </x:c>
      <x:c r="M324" s="38" t="str">
        <x:v>Unidad</x:v>
      </x:c>
      <x:c r="N324" s="38" t="n">
        <x:v>1</x:v>
      </x:c>
      <x:c r="O324" s="38" t="str">
        <x:v>Unidad</x:v>
      </x:c>
      <x:c r="P324" s="99" t="n">
        <x:v>3.363</x:v>
      </x:c>
      <x:c r="Q324" s="114" t="n">
        <x:v>0</x:v>
      </x:c>
      <x:c r="R324" s="99" t="n">
        <x:v>3.36</x:v>
      </x:c>
      <x:c r="S324" s="99" t="n">
        <x:f>IFERROR(R324/L324,P324*(1-Q324))</x:f>
        <x:v>3.36</x:v>
      </x:c>
      <x:c r="T324" s="114" t="n">
        <x:v>0.07</x:v>
      </x:c>
      <x:c r="U324" s="99" t="n">
        <x:f>S324*(1+T324)</x:f>
        <x:v>3.5952</x:v>
      </x:c>
      <x:c r="V324" s="99" t="n">
        <x:f>S324</x:f>
        <x:v>3.36</x:v>
      </x:c>
      <x:c r="W324" s="99" t="n">
        <x:f>V324-S324</x:f>
        <x:v>0</x:v>
      </x:c>
      <x:c r="X324" s="114" t="n">
        <x:f>IFERROR(W324/V324,0)</x:f>
        <x:v>0</x:v>
      </x:c>
      <x:c r="Y324" s="38" t="str">
        <x:v>Por unidad</x:v>
      </x:c>
      <x:c r="Z324" s="38" t="str">
        <x:f>IF(Y324="Botella / 3 instalaciones","Precio botella / 3",IF(Y324="Por rollo o metros proporcionales","Si se pasa rollo: rollo completo. Si se pasan metros: proporcional",Y324))</x:f>
        <x:v>Por unidad</x:v>
      </x:c>
      <x:c r="AA324" s="38" t="n">
        <x:v>1</x:v>
      </x:c>
      <x:c r="AB324" s="38" t="str"/>
      <x:c r="AC324" s="38" t="str"/>
      <x:c r="AD324" s="116" t="str">
        <x:v>2026-06-30</x:v>
      </x:c>
      <x:c r="AE324" s="38" t="str">
        <x:v>Sí</x:v>
      </x:c>
      <x:c r="AF324" s="38" t="str">
        <x:v>Revisar categoría antes de usar en cálculo automático.</x:v>
      </x:c>
    </x:row>
    <x:row r="325">
      <x:c r="A325" s="38" t="str">
        <x:v>MAT-0324</x:v>
      </x:c>
      <x:c r="B325" s="38" t="str">
        <x:v>Sí</x:v>
      </x:c>
      <x:c r="C325" s="38" t="str">
        <x:v>Electricidad</x:v>
      </x:c>
      <x:c r="D325" s="38" t="str">
        <x:v>Cable eléctrico</x:v>
      </x:c>
      <x:c r="E325" s="38" t="str">
        <x:v>Cable 07Z1K Cpr 1X2.5 Az 100Mt</x:v>
      </x:c>
      <x:c r="F325" s="38" t="str">
        <x:v>CABLE 07Z1K CPR 1X2.5 AZ 100MT</x:v>
      </x:c>
      <x:c r="G325" s="38" t="str">
        <x:v>CABLE / 89555165</x:v>
      </x:c>
      <x:c r="H325" s="38" t="str">
        <x:v>Comercial Eléctrica Canarias, S.A.</x:v>
      </x:c>
      <x:c r="I325" s="38" t="str">
        <x:v>Factura 92010826</x:v>
      </x:c>
      <x:c r="J325" s="115" t="str">
        <x:v>15/05/2026</x:v>
      </x:c>
      <x:c r="K325" s="38" t="str">
        <x:v>Albarán 132.302/013 (04/05/2026)</x:v>
      </x:c>
      <x:c r="L325" s="38" t="n">
        <x:v>100</x:v>
      </x:c>
      <x:c r="M325" s="38" t="str">
        <x:v>Metro</x:v>
      </x:c>
      <x:c r="N325" s="38" t="n">
        <x:v>1</x:v>
      </x:c>
      <x:c r="O325" s="38" t="str">
        <x:v>Metro</x:v>
      </x:c>
      <x:c r="P325" s="99" t="n">
        <x:v>0.35</x:v>
      </x:c>
      <x:c r="Q325" s="114" t="n">
        <x:v>0</x:v>
      </x:c>
      <x:c r="R325" s="99" t="n">
        <x:v>35</x:v>
      </x:c>
      <x:c r="S325" s="99" t="n">
        <x:f>IFERROR(R325/L325,P325*(1-Q325))</x:f>
        <x:v>0.35</x:v>
      </x:c>
      <x:c r="T325" s="114" t="n">
        <x:v>0.07</x:v>
      </x:c>
      <x:c r="U325" s="99" t="n">
        <x:f>S325*(1+T325)</x:f>
        <x:v>0.3745</x:v>
      </x:c>
      <x:c r="V325" s="99" t="n">
        <x:f>S325</x:f>
        <x:v>0.35</x:v>
      </x:c>
      <x:c r="W325" s="99" t="n">
        <x:f>V325-S325</x:f>
        <x:v>0</x:v>
      </x:c>
      <x:c r="X325" s="114" t="n">
        <x:f>IFERROR(W325/V325,0)</x:f>
        <x:v>0</x:v>
      </x:c>
      <x:c r="Y325" s="38" t="str">
        <x:v>Por metros</x:v>
      </x:c>
      <x:c r="Z325" s="38" t="str">
        <x:f>IF(Y325="Botella / 3 instalaciones","Precio botella / 3",IF(Y325="Por rollo o metros proporcionales","Si se pasa rollo: rollo completo. Si se pasan metros: proporcional",Y325))</x:f>
        <x:v>Por metros</x:v>
      </x:c>
      <x:c r="AA325" s="38" t="n">
        <x:v>1</x:v>
      </x:c>
      <x:c r="AB325" s="38" t="str"/>
      <x:c r="AC325" s="38" t="str"/>
      <x:c r="AD325" s="116" t="str">
        <x:v>2026-06-30</x:v>
      </x:c>
      <x:c r="AE325" s="38" t="str">
        <x:v>No</x:v>
      </x:c>
      <x:c r="AF325" s="38" t="str"/>
    </x:row>
    <x:row r="326">
      <x:c r="A326" s="38" t="str">
        <x:v>MAT-0325</x:v>
      </x:c>
      <x:c r="B326" s="38" t="str">
        <x:v>Sí</x:v>
      </x:c>
      <x:c r="C326" s="38" t="str">
        <x:v>Electricidad</x:v>
      </x:c>
      <x:c r="D326" s="38" t="str">
        <x:v>Cable eléctrico</x:v>
      </x:c>
      <x:c r="E326" s="38" t="str">
        <x:v>Cable 07Z1K Cpr 1X2.5 A/V100Mt</x:v>
      </x:c>
      <x:c r="F326" s="38" t="str">
        <x:v>CABLE 07Z1K CPR 1X2.5 A/V100MT</x:v>
      </x:c>
      <x:c r="G326" s="38" t="str">
        <x:v>CABLE / 89555166</x:v>
      </x:c>
      <x:c r="H326" s="38" t="str">
        <x:v>Comercial Eléctrica Canarias, S.A.</x:v>
      </x:c>
      <x:c r="I326" s="38" t="str">
        <x:v>Factura 92010826</x:v>
      </x:c>
      <x:c r="J326" s="115" t="str">
        <x:v>15/05/2026</x:v>
      </x:c>
      <x:c r="K326" s="38" t="str">
        <x:v>Albarán 132.302/013 (04/05/2026)</x:v>
      </x:c>
      <x:c r="L326" s="38" t="n">
        <x:v>100</x:v>
      </x:c>
      <x:c r="M326" s="38" t="str">
        <x:v>Metro</x:v>
      </x:c>
      <x:c r="N326" s="38" t="n">
        <x:v>1</x:v>
      </x:c>
      <x:c r="O326" s="38" t="str">
        <x:v>Metro</x:v>
      </x:c>
      <x:c r="P326" s="99" t="n">
        <x:v>0.35</x:v>
      </x:c>
      <x:c r="Q326" s="114" t="n">
        <x:v>0</x:v>
      </x:c>
      <x:c r="R326" s="99" t="n">
        <x:v>35</x:v>
      </x:c>
      <x:c r="S326" s="99" t="n">
        <x:f>IFERROR(R326/L326,P326*(1-Q326))</x:f>
        <x:v>0.35</x:v>
      </x:c>
      <x:c r="T326" s="114" t="n">
        <x:v>0.07</x:v>
      </x:c>
      <x:c r="U326" s="99" t="n">
        <x:f>S326*(1+T326)</x:f>
        <x:v>0.3745</x:v>
      </x:c>
      <x:c r="V326" s="99" t="n">
        <x:f>S326</x:f>
        <x:v>0.35</x:v>
      </x:c>
      <x:c r="W326" s="99" t="n">
        <x:f>V326-S326</x:f>
        <x:v>0</x:v>
      </x:c>
      <x:c r="X326" s="114" t="n">
        <x:f>IFERROR(W326/V326,0)</x:f>
        <x:v>0</x:v>
      </x:c>
      <x:c r="Y326" s="38" t="str">
        <x:v>Por metros</x:v>
      </x:c>
      <x:c r="Z326" s="38" t="str">
        <x:f>IF(Y326="Botella / 3 instalaciones","Precio botella / 3",IF(Y326="Por rollo o metros proporcionales","Si se pasa rollo: rollo completo. Si se pasan metros: proporcional",Y326))</x:f>
        <x:v>Por metros</x:v>
      </x:c>
      <x:c r="AA326" s="38" t="n">
        <x:v>1</x:v>
      </x:c>
      <x:c r="AB326" s="38" t="str"/>
      <x:c r="AC326" s="38" t="str"/>
      <x:c r="AD326" s="116" t="str">
        <x:v>2026-06-30</x:v>
      </x:c>
      <x:c r="AE326" s="38" t="str">
        <x:v>No</x:v>
      </x:c>
      <x:c r="AF326" s="38" t="str"/>
    </x:row>
    <x:row r="327">
      <x:c r="A327" s="38" t="str">
        <x:v>MAT-0326</x:v>
      </x:c>
      <x:c r="B327" s="38" t="str">
        <x:v>Sí</x:v>
      </x:c>
      <x:c r="C327" s="38" t="str">
        <x:v>Electricidad</x:v>
      </x:c>
      <x:c r="D327" s="38" t="str">
        <x:v>Cable eléctrico</x:v>
      </x:c>
      <x:c r="E327" s="38" t="str">
        <x:v>Cable 07Z1K Cpr 1X2.5 Ng 100Mt</x:v>
      </x:c>
      <x:c r="F327" s="38" t="str">
        <x:v>CABLE 07Z1K CPR 1X2.5 NG 100MT</x:v>
      </x:c>
      <x:c r="G327" s="38" t="str">
        <x:v>CABLE / 89555162</x:v>
      </x:c>
      <x:c r="H327" s="38" t="str">
        <x:v>Comercial Eléctrica Canarias, S.A.</x:v>
      </x:c>
      <x:c r="I327" s="38" t="str">
        <x:v>Factura 92010826</x:v>
      </x:c>
      <x:c r="J327" s="115" t="str">
        <x:v>15/05/2026</x:v>
      </x:c>
      <x:c r="K327" s="38" t="str">
        <x:v>Albarán 132.302/013 (04/05/2026)</x:v>
      </x:c>
      <x:c r="L327" s="38" t="n">
        <x:v>100</x:v>
      </x:c>
      <x:c r="M327" s="38" t="str">
        <x:v>Metro</x:v>
      </x:c>
      <x:c r="N327" s="38" t="n">
        <x:v>1</x:v>
      </x:c>
      <x:c r="O327" s="38" t="str">
        <x:v>Metro</x:v>
      </x:c>
      <x:c r="P327" s="99" t="n">
        <x:v>0.35</x:v>
      </x:c>
      <x:c r="Q327" s="114" t="n">
        <x:v>0</x:v>
      </x:c>
      <x:c r="R327" s="99" t="n">
        <x:v>35</x:v>
      </x:c>
      <x:c r="S327" s="99" t="n">
        <x:f>IFERROR(R327/L327,P327*(1-Q327))</x:f>
        <x:v>0.35</x:v>
      </x:c>
      <x:c r="T327" s="114" t="n">
        <x:v>0.07</x:v>
      </x:c>
      <x:c r="U327" s="99" t="n">
        <x:f>S327*(1+T327)</x:f>
        <x:v>0.3745</x:v>
      </x:c>
      <x:c r="V327" s="99" t="n">
        <x:f>S327</x:f>
        <x:v>0.35</x:v>
      </x:c>
      <x:c r="W327" s="99" t="n">
        <x:f>V327-S327</x:f>
        <x:v>0</x:v>
      </x:c>
      <x:c r="X327" s="114" t="n">
        <x:f>IFERROR(W327/V327,0)</x:f>
        <x:v>0</x:v>
      </x:c>
      <x:c r="Y327" s="38" t="str">
        <x:v>Por metros</x:v>
      </x:c>
      <x:c r="Z327" s="38" t="str">
        <x:f>IF(Y327="Botella / 3 instalaciones","Precio botella / 3",IF(Y327="Por rollo o metros proporcionales","Si se pasa rollo: rollo completo. Si se pasan metros: proporcional",Y327))</x:f>
        <x:v>Por metros</x:v>
      </x:c>
      <x:c r="AA327" s="38" t="n">
        <x:v>1</x:v>
      </x:c>
      <x:c r="AB327" s="38" t="str"/>
      <x:c r="AC327" s="38" t="str"/>
      <x:c r="AD327" s="116" t="str">
        <x:v>2026-06-30</x:v>
      </x:c>
      <x:c r="AE327" s="38" t="str">
        <x:v>No</x:v>
      </x:c>
      <x:c r="AF327" s="38" t="str"/>
    </x:row>
    <x:row r="328">
      <x:c r="A328" s="38" t="str">
        <x:v>MAT-0327</x:v>
      </x:c>
      <x:c r="B328" s="38" t="str">
        <x:v>Sí</x:v>
      </x:c>
      <x:c r="C328" s="38" t="str">
        <x:v>Sin clasificar</x:v>
      </x:c>
      <x:c r="D328" s="38" t="str"/>
      <x:c r="E328" s="38" t="str">
        <x:v>Apl Ld 14W 1400Lm Cct Bl Ip65</x:v>
      </x:c>
      <x:c r="F328" s="38" t="str">
        <x:v>APL LD 14W 1400LM CCT BL IP65</x:v>
      </x:c>
      <x:c r="G328" s="38" t="str">
        <x:v>880200CCT / 8303001</x:v>
      </x:c>
      <x:c r="H328" s="38" t="str">
        <x:v>Comercial Eléctrica Canarias, S.A.</x:v>
      </x:c>
      <x:c r="I328" s="38" t="str">
        <x:v>Factura 92010826</x:v>
      </x:c>
      <x:c r="J328" s="115" t="str">
        <x:v>15/05/2026</x:v>
      </x:c>
      <x:c r="K328" s="38" t="str">
        <x:v>Albarán 132.393/013 (08/05/2026)</x:v>
      </x:c>
      <x:c r="L328" s="38" t="n">
        <x:v>1</x:v>
      </x:c>
      <x:c r="M328" s="38" t="str">
        <x:v>Unidad</x:v>
      </x:c>
      <x:c r="N328" s="38" t="n">
        <x:v>1</x:v>
      </x:c>
      <x:c r="O328" s="38" t="str">
        <x:v>Unidad</x:v>
      </x:c>
      <x:c r="P328" s="99" t="n">
        <x:v>14.65</x:v>
      </x:c>
      <x:c r="Q328" s="114" t="n">
        <x:v>0</x:v>
      </x:c>
      <x:c r="R328" s="99" t="n">
        <x:v>14.75</x:v>
      </x:c>
      <x:c r="S328" s="99" t="n">
        <x:f>IFERROR(R328/L328,P328*(1-Q328))</x:f>
        <x:v>14.75</x:v>
      </x:c>
      <x:c r="T328" s="114" t="n">
        <x:v>0.07</x:v>
      </x:c>
      <x:c r="U328" s="99" t="n">
        <x:f>S328*(1+T328)</x:f>
        <x:v>15.7825</x:v>
      </x:c>
      <x:c r="V328" s="99" t="n">
        <x:f>S328</x:f>
        <x:v>14.75</x:v>
      </x:c>
      <x:c r="W328" s="99" t="n">
        <x:f>V328-S328</x:f>
        <x:v>0</x:v>
      </x:c>
      <x:c r="X328" s="114" t="n">
        <x:f>IFERROR(W328/V328,0)</x:f>
        <x:v>0</x:v>
      </x:c>
      <x:c r="Y328" s="38" t="str">
        <x:v>Por unidad</x:v>
      </x:c>
      <x:c r="Z328" s="38" t="str">
        <x:f>IF(Y328="Botella / 3 instalaciones","Precio botella / 3",IF(Y328="Por rollo o metros proporcionales","Si se pasa rollo: rollo completo. Si se pasan metros: proporcional",Y328))</x:f>
        <x:v>Por unidad</x:v>
      </x:c>
      <x:c r="AA328" s="38" t="n">
        <x:v>1</x:v>
      </x:c>
      <x:c r="AB328" s="38" t="str"/>
      <x:c r="AC328" s="38" t="str"/>
      <x:c r="AD328" s="116" t="str">
        <x:v>2026-06-30</x:v>
      </x:c>
      <x:c r="AE328" s="38" t="str">
        <x:v>Sí</x:v>
      </x:c>
      <x:c r="AF328" s="38" t="str">
        <x:v>Revisar categoría antes de usar en cálculo automático.</x:v>
      </x:c>
    </x:row>
    <x:row r="329">
      <x:c r="A329" s="38" t="str">
        <x:v>MAT-0328</x:v>
      </x:c>
      <x:c r="B329" s="38" t="str">
        <x:v>Sí</x:v>
      </x:c>
      <x:c r="C329" s="38" t="str">
        <x:v>Sin clasificar</x:v>
      </x:c>
      <x:c r="D329" s="38" t="str"/>
      <x:c r="E329" s="38" t="str">
        <x:v>M Tira Ld 12W 4K Ip66 230V</x:v>
      </x:c>
      <x:c r="F329" s="38" t="str">
        <x:v>M TIRA LD 12W 4K IP66 230V</x:v>
      </x:c>
      <x:c r="G329" s="38" t="str">
        <x:v>OSR-4058075844681 / 844681</x:v>
      </x:c>
      <x:c r="H329" s="38" t="str">
        <x:v>Comercial Eléctrica Canarias, S.A.</x:v>
      </x:c>
      <x:c r="I329" s="38" t="str">
        <x:v>Factura 92010826</x:v>
      </x:c>
      <x:c r="J329" s="115" t="str">
        <x:v>15/05/2026</x:v>
      </x:c>
      <x:c r="K329" s="38" t="str">
        <x:v>Albarán 132.394/013 (08/05/2026)</x:v>
      </x:c>
      <x:c r="L329" s="38" t="n">
        <x:v>3</x:v>
      </x:c>
      <x:c r="M329" s="38" t="str">
        <x:v>Unidad</x:v>
      </x:c>
      <x:c r="N329" s="38" t="n">
        <x:v>1</x:v>
      </x:c>
      <x:c r="O329" s="38" t="str">
        <x:v>Unidad</x:v>
      </x:c>
      <x:c r="P329" s="99" t="n">
        <x:v>8.013</x:v>
      </x:c>
      <x:c r="Q329" s="114" t="n">
        <x:v>0</x:v>
      </x:c>
      <x:c r="R329" s="99" t="n">
        <x:v>24.07</x:v>
      </x:c>
      <x:c r="S329" s="99" t="n">
        <x:f>IFERROR(R329/L329,P329*(1-Q329))</x:f>
        <x:v>8.023333333333333</x:v>
      </x:c>
      <x:c r="T329" s="114" t="n">
        <x:v>0.07</x:v>
      </x:c>
      <x:c r="U329" s="99" t="n">
        <x:f>S329*(1+T329)</x:f>
        <x:v>8.584966666666666</x:v>
      </x:c>
      <x:c r="V329" s="99" t="n">
        <x:f>S329</x:f>
        <x:v>8.023333333333333</x:v>
      </x:c>
      <x:c r="W329" s="99" t="n">
        <x:f>V329-S329</x:f>
        <x:v>0</x:v>
      </x:c>
      <x:c r="X329" s="114" t="n">
        <x:f>IFERROR(W329/V329,0)</x:f>
        <x:v>0</x:v>
      </x:c>
      <x:c r="Y329" s="38" t="str">
        <x:v>Por unidad</x:v>
      </x:c>
      <x:c r="Z329" s="38" t="str">
        <x:f>IF(Y329="Botella / 3 instalaciones","Precio botella / 3",IF(Y329="Por rollo o metros proporcionales","Si se pasa rollo: rollo completo. Si se pasan metros: proporcional",Y329))</x:f>
        <x:v>Por unidad</x:v>
      </x:c>
      <x:c r="AA329" s="38" t="n">
        <x:v>1</x:v>
      </x:c>
      <x:c r="AB329" s="38" t="str"/>
      <x:c r="AC329" s="38" t="str"/>
      <x:c r="AD329" s="116" t="str">
        <x:v>2026-06-30</x:v>
      </x:c>
      <x:c r="AE329" s="38" t="str">
        <x:v>Sí</x:v>
      </x:c>
      <x:c r="AF329" s="38" t="str">
        <x:v>Revisar categoría antes de usar en cálculo automático.</x:v>
      </x:c>
    </x:row>
    <x:row r="330">
      <x:c r="A330" s="38" t="str">
        <x:v>MAT-0329</x:v>
      </x:c>
      <x:c r="B330" s="38" t="str">
        <x:v>Sí</x:v>
      </x:c>
      <x:c r="C330" s="38" t="str">
        <x:v>Desagüe</x:v>
      </x:c>
      <x:c r="D330" s="38" t="str">
        <x:v>Tubo/accesorios desagüe</x:v>
      </x:c>
      <x:c r="E330" s="38" t="str">
        <x:v>Tubo Pvc Flex.Exter.Pg21</x:v>
      </x:c>
      <x:c r="F330" s="38" t="str">
        <x:v>TUBO PVC FLEX.EXTER.PG21</x:v>
      </x:c>
      <x:c r="G330" s="38" t="str">
        <x:v>PEM-10011021 / 1267</x:v>
      </x:c>
      <x:c r="H330" s="38" t="str">
        <x:v>Comercial Eléctrica Canarias, S.A.</x:v>
      </x:c>
      <x:c r="I330" s="38" t="str">
        <x:v>Factura 92010826</x:v>
      </x:c>
      <x:c r="J330" s="115" t="str">
        <x:v>15/05/2026</x:v>
      </x:c>
      <x:c r="K330" s="38" t="str">
        <x:v>Albarán 132.507/013 (14/05/2026)</x:v>
      </x:c>
      <x:c r="L330" s="38" t="n">
        <x:v>10</x:v>
      </x:c>
      <x:c r="M330" s="38" t="str">
        <x:v>Unidad</x:v>
      </x:c>
      <x:c r="N330" s="38" t="n">
        <x:v>1</x:v>
      </x:c>
      <x:c r="O330" s="38" t="str">
        <x:v>Unidad</x:v>
      </x:c>
      <x:c r="P330" s="99" t="n">
        <x:v>1.313</x:v>
      </x:c>
      <x:c r="Q330" s="114" t="n">
        <x:v>0</x:v>
      </x:c>
      <x:c r="R330" s="99" t="n">
        <x:v>13.13</x:v>
      </x:c>
      <x:c r="S330" s="99" t="n">
        <x:f>IFERROR(R330/L330,P330*(1-Q330))</x:f>
        <x:v>1.3130000000000002</x:v>
      </x:c>
      <x:c r="T330" s="114" t="n">
        <x:v>0.07</x:v>
      </x:c>
      <x:c r="U330" s="99" t="n">
        <x:f>S330*(1+T330)</x:f>
        <x:v>1.4049100000000003</x:v>
      </x:c>
      <x:c r="V330" s="99" t="n">
        <x:f>S330</x:f>
        <x:v>1.3130000000000002</x:v>
      </x:c>
      <x:c r="W330" s="99" t="n">
        <x:f>V330-S330</x:f>
        <x:v>0</x:v>
      </x:c>
      <x:c r="X330" s="114" t="n">
        <x:f>IFERROR(W330/V330,0)</x:f>
        <x:v>0</x:v>
      </x:c>
      <x:c r="Y330" s="38" t="str">
        <x:v>Por unidad</x:v>
      </x:c>
      <x:c r="Z330" s="38" t="str">
        <x:f>IF(Y330="Botella / 3 instalaciones","Precio botella / 3",IF(Y330="Por rollo o metros proporcionales","Si se pasa rollo: rollo completo. Si se pasan metros: proporcional",Y330))</x:f>
        <x:v>Por unidad</x:v>
      </x:c>
      <x:c r="AA330" s="38" t="n">
        <x:v>1</x:v>
      </x:c>
      <x:c r="AB330" s="38" t="str"/>
      <x:c r="AC330" s="38" t="str"/>
      <x:c r="AD330" s="116" t="str">
        <x:v>2026-06-30</x:v>
      </x:c>
      <x:c r="AE330" s="38" t="str">
        <x:v>No</x:v>
      </x:c>
      <x:c r="AF330" s="38" t="str"/>
    </x:row>
    <x:row r="331">
      <x:c r="A331" s="38" t="str">
        <x:v>MAT-0330</x:v>
      </x:c>
      <x:c r="B331" s="38" t="str">
        <x:v>Sí</x:v>
      </x:c>
      <x:c r="C331" s="38" t="str">
        <x:v>Sin clasificar</x:v>
      </x:c>
      <x:c r="D331" s="38" t="str"/>
      <x:c r="E331" s="38" t="str">
        <x:v>Placa Geo 2H Blanco Tb</x:v>
      </x:c>
      <x:c r="F331" s="38" t="str">
        <x:v>PLACA GEO 2H BLANCO TB</x:v>
      </x:c>
      <x:c r="G331" s="38" t="str">
        <x:v>GEW-GW16402TB / 91640200</x:v>
      </x:c>
      <x:c r="H331" s="38" t="str">
        <x:v>Comercial Eléctrica Canarias, S.A.</x:v>
      </x:c>
      <x:c r="I331" s="38" t="str">
        <x:v>Factura 92010826</x:v>
      </x:c>
      <x:c r="J331" s="115" t="str">
        <x:v>15/05/2026</x:v>
      </x:c>
      <x:c r="K331" s="38" t="str">
        <x:v>Albarán 132.507/013 (14/05/2026)</x:v>
      </x:c>
      <x:c r="L331" s="38" t="n">
        <x:v>2</x:v>
      </x:c>
      <x:c r="M331" s="38" t="str">
        <x:v>Unidad</x:v>
      </x:c>
      <x:c r="N331" s="38" t="n">
        <x:v>1</x:v>
      </x:c>
      <x:c r="O331" s="38" t="str">
        <x:v>Unidad</x:v>
      </x:c>
      <x:c r="P331" s="99" t="n">
        <x:v>1.393</x:v>
      </x:c>
      <x:c r="Q331" s="114" t="n">
        <x:v>0</x:v>
      </x:c>
      <x:c r="R331" s="99" t="n">
        <x:v>2.79</x:v>
      </x:c>
      <x:c r="S331" s="99" t="n">
        <x:f>IFERROR(R331/L331,P331*(1-Q331))</x:f>
        <x:v>1.395</x:v>
      </x:c>
      <x:c r="T331" s="114" t="n">
        <x:v>0.07</x:v>
      </x:c>
      <x:c r="U331" s="99" t="n">
        <x:f>S331*(1+T331)</x:f>
        <x:v>1.49265</x:v>
      </x:c>
      <x:c r="V331" s="99" t="n">
        <x:f>S331</x:f>
        <x:v>1.395</x:v>
      </x:c>
      <x:c r="W331" s="99" t="n">
        <x:f>V331-S331</x:f>
        <x:v>0</x:v>
      </x:c>
      <x:c r="X331" s="114" t="n">
        <x:f>IFERROR(W331/V331,0)</x:f>
        <x:v>0</x:v>
      </x:c>
      <x:c r="Y331" s="38" t="str">
        <x:v>Por unidad</x:v>
      </x:c>
      <x:c r="Z331" s="38" t="str">
        <x:f>IF(Y331="Botella / 3 instalaciones","Precio botella / 3",IF(Y331="Por rollo o metros proporcionales","Si se pasa rollo: rollo completo. Si se pasan metros: proporcional",Y331))</x:f>
        <x:v>Por unidad</x:v>
      </x:c>
      <x:c r="AA331" s="38" t="n">
        <x:v>1</x:v>
      </x:c>
      <x:c r="AB331" s="38" t="str"/>
      <x:c r="AC331" s="38" t="str"/>
      <x:c r="AD331" s="116" t="str">
        <x:v>2026-06-30</x:v>
      </x:c>
      <x:c r="AE331" s="38" t="str">
        <x:v>Sí</x:v>
      </x:c>
      <x:c r="AF331" s="38" t="str">
        <x:v>Revisar categoría antes de usar en cálculo automático.</x:v>
      </x:c>
    </x:row>
    <x:row r="332">
      <x:c r="A332" s="38" t="str">
        <x:v>MAT-0331</x:v>
      </x:c>
      <x:c r="B332" s="38" t="str">
        <x:v>Sí</x:v>
      </x:c>
      <x:c r="C332" s="38" t="str">
        <x:v>Soportes y fijaciones</x:v>
      </x:c>
      <x:c r="D332" s="38" t="str">
        <x:v>Soportes/amortiguadores</x:v>
      </x:c>
      <x:c r="E332" s="38" t="str">
        <x:v>Soporte 1 A 3M Caja Rect</x:v>
      </x:c>
      <x:c r="F332" s="38" t="str">
        <x:v>SOPORTE 1 a 3M CAJA RECT</x:v>
      </x:c>
      <x:c r="G332" s="38" t="str">
        <x:v>GEW-GW16803 / 916803</x:v>
      </x:c>
      <x:c r="H332" s="38" t="str">
        <x:v>Comercial Eléctrica Canarias, S.A.</x:v>
      </x:c>
      <x:c r="I332" s="38" t="str">
        <x:v>Factura 92010826</x:v>
      </x:c>
      <x:c r="J332" s="115" t="str">
        <x:v>15/05/2026</x:v>
      </x:c>
      <x:c r="K332" s="38" t="str">
        <x:v>Albarán 132.507/013 (14/05/2026)</x:v>
      </x:c>
      <x:c r="L332" s="38" t="n">
        <x:v>2</x:v>
      </x:c>
      <x:c r="M332" s="38" t="str">
        <x:v>Unidad</x:v>
      </x:c>
      <x:c r="N332" s="38" t="n">
        <x:v>1</x:v>
      </x:c>
      <x:c r="O332" s="38" t="str">
        <x:v>Unidad</x:v>
      </x:c>
      <x:c r="P332" s="99" t="n">
        <x:v>0.813</x:v>
      </x:c>
      <x:c r="Q332" s="114" t="n">
        <x:v>0</x:v>
      </x:c>
      <x:c r="R332" s="99" t="n">
        <x:v>1.63</x:v>
      </x:c>
      <x:c r="S332" s="99" t="n">
        <x:f>IFERROR(R332/L332,P332*(1-Q332))</x:f>
        <x:v>0.815</x:v>
      </x:c>
      <x:c r="T332" s="114" t="n">
        <x:v>0.07</x:v>
      </x:c>
      <x:c r="U332" s="99" t="n">
        <x:f>S332*(1+T332)</x:f>
        <x:v>0.87205</x:v>
      </x:c>
      <x:c r="V332" s="99" t="n">
        <x:f>S332</x:f>
        <x:v>0.815</x:v>
      </x:c>
      <x:c r="W332" s="99" t="n">
        <x:f>V332-S332</x:f>
        <x:v>0</x:v>
      </x:c>
      <x:c r="X332" s="114" t="n">
        <x:f>IFERROR(W332/V332,0)</x:f>
        <x:v>0</x:v>
      </x:c>
      <x:c r="Y332" s="38" t="str">
        <x:v>Por unidad</x:v>
      </x:c>
      <x:c r="Z332" s="38" t="str">
        <x:f>IF(Y332="Botella / 3 instalaciones","Precio botella / 3",IF(Y332="Por rollo o metros proporcionales","Si se pasa rollo: rollo completo. Si se pasan metros: proporcional",Y332))</x:f>
        <x:v>Por unidad</x:v>
      </x:c>
      <x:c r="AA332" s="38" t="n">
        <x:v>1</x:v>
      </x:c>
      <x:c r="AB332" s="38" t="str"/>
      <x:c r="AC332" s="38" t="str"/>
      <x:c r="AD332" s="116" t="str">
        <x:v>2026-06-30</x:v>
      </x:c>
      <x:c r="AE332" s="38" t="str">
        <x:v>No</x:v>
      </x:c>
      <x:c r="AF332" s="38" t="str"/>
    </x:row>
    <x:row r="333">
      <x:c r="A333" s="38" t="str">
        <x:v>MAT-0332</x:v>
      </x:c>
      <x:c r="B333" s="38" t="str">
        <x:v>Sí</x:v>
      </x:c>
      <x:c r="C333" s="38" t="str">
        <x:v>Sin clasificar</x:v>
      </x:c>
      <x:c r="D333" s="38" t="str"/>
      <x:c r="E333" s="38" t="str">
        <x:v>Base Schuko Blanco 2M 16 N.Esp</x:v>
      </x:c>
      <x:c r="F333" s="38" t="str">
        <x:v>BASE SCHUKO BLANCO 2M 16 N.ESP</x:v>
      </x:c>
      <x:c r="G333" s="38" t="str">
        <x:v>GEW-GW10241 / 910241</x:v>
      </x:c>
      <x:c r="H333" s="38" t="str">
        <x:v>Comercial Eléctrica Canarias, S.A.</x:v>
      </x:c>
      <x:c r="I333" s="38" t="str">
        <x:v>Factura 92010826</x:v>
      </x:c>
      <x:c r="J333" s="115" t="str">
        <x:v>15/05/2026</x:v>
      </x:c>
      <x:c r="K333" s="38" t="str">
        <x:v>Albarán 132.507/013 (14/05/2026)</x:v>
      </x:c>
      <x:c r="L333" s="38" t="n">
        <x:v>2</x:v>
      </x:c>
      <x:c r="M333" s="38" t="str">
        <x:v>Unidad</x:v>
      </x:c>
      <x:c r="N333" s="38" t="n">
        <x:v>1</x:v>
      </x:c>
      <x:c r="O333" s="38" t="str">
        <x:v>Unidad</x:v>
      </x:c>
      <x:c r="P333" s="99" t="n">
        <x:v>2.877</x:v>
      </x:c>
      <x:c r="Q333" s="114" t="n">
        <x:v>0</x:v>
      </x:c>
      <x:c r="R333" s="99" t="n">
        <x:v>5.75</x:v>
      </x:c>
      <x:c r="S333" s="99" t="n">
        <x:f>IFERROR(R333/L333,P333*(1-Q333))</x:f>
        <x:v>2.875</x:v>
      </x:c>
      <x:c r="T333" s="114" t="n">
        <x:v>0.07</x:v>
      </x:c>
      <x:c r="U333" s="99" t="n">
        <x:f>S333*(1+T333)</x:f>
        <x:v>3.0762500000000004</x:v>
      </x:c>
      <x:c r="V333" s="99" t="n">
        <x:f>S333</x:f>
        <x:v>2.875</x:v>
      </x:c>
      <x:c r="W333" s="99" t="n">
        <x:f>V333-S333</x:f>
        <x:v>0</x:v>
      </x:c>
      <x:c r="X333" s="114" t="n">
        <x:f>IFERROR(W333/V333,0)</x:f>
        <x:v>0</x:v>
      </x:c>
      <x:c r="Y333" s="38" t="str">
        <x:v>Por unidad</x:v>
      </x:c>
      <x:c r="Z333" s="38" t="str">
        <x:f>IF(Y333="Botella / 3 instalaciones","Precio botella / 3",IF(Y333="Por rollo o metros proporcionales","Si se pasa rollo: rollo completo. Si se pasan metros: proporcional",Y333))</x:f>
        <x:v>Por unidad</x:v>
      </x:c>
      <x:c r="AA333" s="38" t="n">
        <x:v>1</x:v>
      </x:c>
      <x:c r="AB333" s="38" t="str"/>
      <x:c r="AC333" s="38" t="str"/>
      <x:c r="AD333" s="116" t="str">
        <x:v>2026-06-30</x:v>
      </x:c>
      <x:c r="AE333" s="38" t="str">
        <x:v>Sí</x:v>
      </x:c>
      <x:c r="AF333" s="38" t="str">
        <x:v>Revisar categoría antes de usar en cálculo automático.</x:v>
      </x:c>
    </x:row>
    <x:row r="334">
      <x:c r="A334" s="38" t="str">
        <x:v>MAT-0333</x:v>
      </x:c>
      <x:c r="B334" s="38" t="str">
        <x:v>Sí</x:v>
      </x:c>
      <x:c r="C334" s="38" t="str">
        <x:v>Sin clasificar</x:v>
      </x:c>
      <x:c r="D334" s="38" t="str"/>
      <x:c r="E334" s="38" t="str">
        <x:v>Panel Eco-Class 60X60 36W/86</x:v>
      </x:c>
      <x:c r="F334" s="38" t="str">
        <x:v>PANEL ECO-CLASS 60X60 36W/86</x:v>
      </x:c>
      <x:c r="G334" s="38" t="str">
        <x:v>OSR-4099854187278 / 386662</x:v>
      </x:c>
      <x:c r="H334" s="38" t="str">
        <x:v>Comercial Eléctrica Canarias, S.A.</x:v>
      </x:c>
      <x:c r="I334" s="38" t="str">
        <x:v>Factura 92010826</x:v>
      </x:c>
      <x:c r="J334" s="115" t="str">
        <x:v>15/05/2026</x:v>
      </x:c>
      <x:c r="K334" s="38" t="str">
        <x:v>Albarán 132.507/013 (14/05/2026)</x:v>
      </x:c>
      <x:c r="L334" s="38" t="n">
        <x:v>1</x:v>
      </x:c>
      <x:c r="M334" s="38" t="str">
        <x:v>Unidad</x:v>
      </x:c>
      <x:c r="N334" s="38" t="n">
        <x:v>1</x:v>
      </x:c>
      <x:c r="O334" s="38" t="str">
        <x:v>Unidad</x:v>
      </x:c>
      <x:c r="P334" s="99" t="n">
        <x:v>19.25</x:v>
      </x:c>
      <x:c r="Q334" s="114" t="n">
        <x:v>0</x:v>
      </x:c>
      <x:c r="R334" s="99" t="n">
        <x:v>19.75</x:v>
      </x:c>
      <x:c r="S334" s="99" t="n">
        <x:f>IFERROR(R334/L334,P334*(1-Q334))</x:f>
        <x:v>19.75</x:v>
      </x:c>
      <x:c r="T334" s="114" t="n">
        <x:v>0.07</x:v>
      </x:c>
      <x:c r="U334" s="99" t="n">
        <x:f>S334*(1+T334)</x:f>
        <x:v>21.1325</x:v>
      </x:c>
      <x:c r="V334" s="99" t="n">
        <x:f>S334</x:f>
        <x:v>19.75</x:v>
      </x:c>
      <x:c r="W334" s="99" t="n">
        <x:f>V334-S334</x:f>
        <x:v>0</x:v>
      </x:c>
      <x:c r="X334" s="114" t="n">
        <x:f>IFERROR(W334/V334,0)</x:f>
        <x:v>0</x:v>
      </x:c>
      <x:c r="Y334" s="38" t="str">
        <x:v>Por unidad</x:v>
      </x:c>
      <x:c r="Z334" s="38" t="str">
        <x:f>IF(Y334="Botella / 3 instalaciones","Precio botella / 3",IF(Y334="Por rollo o metros proporcionales","Si se pasa rollo: rollo completo. Si se pasan metros: proporcional",Y334))</x:f>
        <x:v>Por unidad</x:v>
      </x:c>
      <x:c r="AA334" s="38" t="n">
        <x:v>1</x:v>
      </x:c>
      <x:c r="AB334" s="38" t="str"/>
      <x:c r="AC334" s="38" t="str"/>
      <x:c r="AD334" s="116" t="str">
        <x:v>2026-06-30</x:v>
      </x:c>
      <x:c r="AE334" s="38" t="str">
        <x:v>Sí</x:v>
      </x:c>
      <x:c r="AF334" s="38" t="str">
        <x:v>Revisar categoría antes de usar en cálculo automático.</x:v>
      </x:c>
    </x:row>
    <x:row r="335">
      <x:c r="A335" s="38" t="str">
        <x:v>MAT-0334</x:v>
      </x:c>
      <x:c r="B335" s="38" t="str">
        <x:v>Sí</x:v>
      </x:c>
      <x:c r="C335" s="38" t="str">
        <x:v>Sin clasificar</x:v>
      </x:c>
      <x:c r="D335" s="38" t="str"/>
      <x:c r="E335" s="38" t="str">
        <x:v>Dpn 1Mod. 1P+N 16A C 6Ka</x:v>
      </x:c>
      <x:c r="F335" s="38" t="str">
        <x:v>DPN 1MOD. 1P+N 16A C 6KA</x:v>
      </x:c>
      <x:c r="G335" s="38" t="str">
        <x:v>D1L0110823 / 202376</x:v>
      </x:c>
      <x:c r="H335" s="38" t="str">
        <x:v>Comercial Eléctrica Canarias, S.A.</x:v>
      </x:c>
      <x:c r="I335" s="38" t="str">
        <x:v>Factura 92010826</x:v>
      </x:c>
      <x:c r="J335" s="115" t="str">
        <x:v>15/05/2026</x:v>
      </x:c>
      <x:c r="K335" s="38" t="str">
        <x:v>Albarán 162.371/016 (06/05/2026) NUM.VALE AUTORIZADO</x:v>
      </x:c>
      <x:c r="L335" s="38" t="n">
        <x:v>3</x:v>
      </x:c>
      <x:c r="M335" s="38" t="str">
        <x:v>Unidad</x:v>
      </x:c>
      <x:c r="N335" s="38" t="n">
        <x:v>1</x:v>
      </x:c>
      <x:c r="O335" s="38" t="str">
        <x:v>Unidad</x:v>
      </x:c>
      <x:c r="P335" s="99" t="n">
        <x:v>6.84</x:v>
      </x:c>
      <x:c r="Q335" s="114" t="n">
        <x:v>0</x:v>
      </x:c>
      <x:c r="R335" s="99" t="n">
        <x:v>20.52</x:v>
      </x:c>
      <x:c r="S335" s="99" t="n">
        <x:f>IFERROR(R335/L335,P335*(1-Q335))</x:f>
        <x:v>6.84</x:v>
      </x:c>
      <x:c r="T335" s="114" t="n">
        <x:v>0.07</x:v>
      </x:c>
      <x:c r="U335" s="99" t="n">
        <x:f>S335*(1+T335)</x:f>
        <x:v>7.3188</x:v>
      </x:c>
      <x:c r="V335" s="99" t="n">
        <x:f>S335</x:f>
        <x:v>6.84</x:v>
      </x:c>
      <x:c r="W335" s="99" t="n">
        <x:f>V335-S335</x:f>
        <x:v>0</x:v>
      </x:c>
      <x:c r="X335" s="114" t="n">
        <x:f>IFERROR(W335/V335,0)</x:f>
        <x:v>0</x:v>
      </x:c>
      <x:c r="Y335" s="38" t="str">
        <x:v>Por unidad</x:v>
      </x:c>
      <x:c r="Z335" s="38" t="str">
        <x:f>IF(Y335="Botella / 3 instalaciones","Precio botella / 3",IF(Y335="Por rollo o metros proporcionales","Si se pasa rollo: rollo completo. Si se pasan metros: proporcional",Y335))</x:f>
        <x:v>Por unidad</x:v>
      </x:c>
      <x:c r="AA335" s="38" t="n">
        <x:v>1</x:v>
      </x:c>
      <x:c r="AB335" s="38" t="str"/>
      <x:c r="AC335" s="38" t="str"/>
      <x:c r="AD335" s="116" t="str">
        <x:v>2026-06-30</x:v>
      </x:c>
      <x:c r="AE335" s="38" t="str">
        <x:v>Sí</x:v>
      </x:c>
      <x:c r="AF335" s="38" t="str">
        <x:v>Revisar categoría antes de usar en cálculo automático.</x:v>
      </x:c>
    </x:row>
    <x:row r="336">
      <x:c r="A336" s="38" t="str">
        <x:v>MAT-0335</x:v>
      </x:c>
      <x:c r="B336" s="38" t="str">
        <x:v>Sí</x:v>
      </x:c>
      <x:c r="C336" s="38" t="str">
        <x:v>Sin clasificar</x:v>
      </x:c>
      <x:c r="D336" s="38" t="str"/>
      <x:c r="E336" s="38" t="str">
        <x:v>Conector Aliment+Tapa Final</x:v>
      </x:c>
      <x:c r="F336" s="38" t="str">
        <x:v>CONECTOR ALIMENT+TAPA FINAL</x:v>
      </x:c>
      <x:c r="G336" s="38" t="str">
        <x:v>OSR-4058075844780 / 844780</x:v>
      </x:c>
      <x:c r="H336" s="38" t="str">
        <x:v>Comercial Eléctrica Canarias, S.A.</x:v>
      </x:c>
      <x:c r="I336" s="38" t="str">
        <x:v>Factura 92010826</x:v>
      </x:c>
      <x:c r="J336" s="115" t="str">
        <x:v>15/05/2026</x:v>
      </x:c>
      <x:c r="K336" s="38" t="str">
        <x:v>Albarán 162.440/016 (08/05/2026)</x:v>
      </x:c>
      <x:c r="L336" s="38" t="n">
        <x:v>3</x:v>
      </x:c>
      <x:c r="M336" s="38" t="str">
        <x:v>Unidad</x:v>
      </x:c>
      <x:c r="N336" s="38" t="n">
        <x:v>1</x:v>
      </x:c>
      <x:c r="O336" s="38" t="str">
        <x:v>Unidad</x:v>
      </x:c>
      <x:c r="P336" s="99" t="n">
        <x:v>5.216</x:v>
      </x:c>
      <x:c r="Q336" s="114" t="n">
        <x:v>0</x:v>
      </x:c>
      <x:c r="R336" s="99" t="n">
        <x:v>15.65</x:v>
      </x:c>
      <x:c r="S336" s="99" t="n">
        <x:f>IFERROR(R336/L336,P336*(1-Q336))</x:f>
        <x:v>5.216666666666667</x:v>
      </x:c>
      <x:c r="T336" s="114" t="n">
        <x:v>0.07</x:v>
      </x:c>
      <x:c r="U336" s="99" t="n">
        <x:f>S336*(1+T336)</x:f>
        <x:v>5.581833333333334</x:v>
      </x:c>
      <x:c r="V336" s="99" t="n">
        <x:f>S336</x:f>
        <x:v>5.216666666666667</x:v>
      </x:c>
      <x:c r="W336" s="99" t="n">
        <x:f>V336-S336</x:f>
        <x:v>0</x:v>
      </x:c>
      <x:c r="X336" s="114" t="n">
        <x:f>IFERROR(W336/V336,0)</x:f>
        <x:v>0</x:v>
      </x:c>
      <x:c r="Y336" s="38" t="str">
        <x:v>Por unidad</x:v>
      </x:c>
      <x:c r="Z336" s="38" t="str">
        <x:f>IF(Y336="Botella / 3 instalaciones","Precio botella / 3",IF(Y336="Por rollo o metros proporcionales","Si se pasa rollo: rollo completo. Si se pasan metros: proporcional",Y336))</x:f>
        <x:v>Por unidad</x:v>
      </x:c>
      <x:c r="AA336" s="38" t="n">
        <x:v>1</x:v>
      </x:c>
      <x:c r="AB336" s="38" t="str"/>
      <x:c r="AC336" s="38" t="str"/>
      <x:c r="AD336" s="116" t="str">
        <x:v>2026-06-30</x:v>
      </x:c>
      <x:c r="AE336" s="38" t="str">
        <x:v>Sí</x:v>
      </x:c>
      <x:c r="AF336" s="38" t="str">
        <x:v>Revisar categoría antes de usar en cálculo automático.</x:v>
      </x:c>
    </x:row>
    <x:row r="337">
      <x:c r="A337" s="38" t="str">
        <x:v>MAT-0336</x:v>
      </x:c>
      <x:c r="B337" s="38" t="str">
        <x:v>Sí</x:v>
      </x:c>
      <x:c r="C337" s="38" t="str">
        <x:v>Canaleta</x:v>
      </x:c>
      <x:c r="D337" s="38" t="str">
        <x:v>Canaleta tramo</x:v>
      </x:c>
      <x:c r="E337" s="38" t="str">
        <x:v>Interruptor S/Pared Canal Blan</x:v>
      </x:c>
      <x:c r="F337" s="38" t="str">
        <x:v>INTERRUPTOR S/PARED CANAL BLAN</x:v>
      </x:c>
      <x:c r="G337" s="38" t="str">
        <x:v>EFA-37011 CBR / 72600</x:v>
      </x:c>
      <x:c r="H337" s="38" t="str">
        <x:v>Comercial Eléctrica Canarias, S.A.</x:v>
      </x:c>
      <x:c r="I337" s="38" t="str">
        <x:v>Factura 92010826</x:v>
      </x:c>
      <x:c r="J337" s="115" t="str">
        <x:v>15/05/2026</x:v>
      </x:c>
      <x:c r="K337" s="38" t="str">
        <x:v>Albarán 162.440/016 (08/05/2026)</x:v>
      </x:c>
      <x:c r="L337" s="38" t="n">
        <x:v>1</x:v>
      </x:c>
      <x:c r="M337" s="38" t="str">
        <x:v>Metro</x:v>
      </x:c>
      <x:c r="N337" s="38" t="n">
        <x:v>1</x:v>
      </x:c>
      <x:c r="O337" s="38" t="str">
        <x:v>Metro</x:v>
      </x:c>
      <x:c r="P337" s="99" t="n">
        <x:v>2.369</x:v>
      </x:c>
      <x:c r="Q337" s="114" t="n">
        <x:v>0</x:v>
      </x:c>
      <x:c r="R337" s="99" t="n">
        <x:v>2.37</x:v>
      </x:c>
      <x:c r="S337" s="99" t="n">
        <x:f>IFERROR(R337/L337,P337*(1-Q337))</x:f>
        <x:v>2.37</x:v>
      </x:c>
      <x:c r="T337" s="114" t="n">
        <x:v>0.03</x:v>
      </x:c>
      <x:c r="U337" s="99" t="n">
        <x:f>S337*(1+T337)</x:f>
        <x:v>2.4411</x:v>
      </x:c>
      <x:c r="V337" s="99" t="n">
        <x:f>S337</x:f>
        <x:v>2.37</x:v>
      </x:c>
      <x:c r="W337" s="99" t="n">
        <x:f>V337-S337</x:f>
        <x:v>0</x:v>
      </x:c>
      <x:c r="X337" s="114" t="n">
        <x:f>IFERROR(W337/V337,0)</x:f>
        <x:v>0</x:v>
      </x:c>
      <x:c r="Y337" s="38" t="str">
        <x:v>Por metros</x:v>
      </x:c>
      <x:c r="Z337" s="38" t="str">
        <x:f>IF(Y337="Botella / 3 instalaciones","Precio botella / 3",IF(Y337="Por rollo o metros proporcionales","Si se pasa rollo: rollo completo. Si se pasan metros: proporcional",Y337))</x:f>
        <x:v>Por metros</x:v>
      </x:c>
      <x:c r="AA337" s="38" t="n">
        <x:v>1</x:v>
      </x:c>
      <x:c r="AB337" s="38" t="str"/>
      <x:c r="AC337" s="38" t="str"/>
      <x:c r="AD337" s="116" t="str">
        <x:v>2026-06-30</x:v>
      </x:c>
      <x:c r="AE337" s="38" t="str">
        <x:v>No</x:v>
      </x:c>
      <x:c r="AF337" s="38" t="str"/>
    </x:row>
    <x:row r="338">
      <x:c r="A338" s="38" t="str">
        <x:v>MAT-0337</x:v>
      </x:c>
      <x:c r="B338" s="38" t="str">
        <x:v>Sí</x:v>
      </x:c>
      <x:c r="C338" s="38" t="str">
        <x:v>Sin clasificar</x:v>
      </x:c>
      <x:c r="D338" s="38" t="str"/>
      <x:c r="E338" s="38" t="str">
        <x:v>Placa One 2H Blanco Leche Tb</x:v>
      </x:c>
      <x:c r="F338" s="38" t="str">
        <x:v>PLACA ONE 2H BLANCO LECHE TB</x:v>
      </x:c>
      <x:c r="G338" s="38" t="str">
        <x:v>GEW-GW16102TB / 91610200</x:v>
      </x:c>
      <x:c r="H338" s="38" t="str">
        <x:v>Comercial Eléctrica Canarias, S.A.</x:v>
      </x:c>
      <x:c r="I338" s="38" t="str">
        <x:v>Factura 92010826</x:v>
      </x:c>
      <x:c r="J338" s="115" t="str">
        <x:v>15/05/2026</x:v>
      </x:c>
      <x:c r="K338" s="38" t="str">
        <x:v>Albarán 162.533/016 (13/05/2026)</x:v>
      </x:c>
      <x:c r="L338" s="38" t="n">
        <x:v>2</x:v>
      </x:c>
      <x:c r="M338" s="38" t="str">
        <x:v>Unidad</x:v>
      </x:c>
      <x:c r="N338" s="38" t="n">
        <x:v>1</x:v>
      </x:c>
      <x:c r="O338" s="38" t="str">
        <x:v>Unidad</x:v>
      </x:c>
      <x:c r="P338" s="99" t="n">
        <x:v>1.393</x:v>
      </x:c>
      <x:c r="Q338" s="114" t="n">
        <x:v>0</x:v>
      </x:c>
      <x:c r="R338" s="99" t="n">
        <x:v>2.79</x:v>
      </x:c>
      <x:c r="S338" s="99" t="n">
        <x:f>IFERROR(R338/L338,P338*(1-Q338))</x:f>
        <x:v>1.395</x:v>
      </x:c>
      <x:c r="T338" s="114" t="n">
        <x:v>0.07</x:v>
      </x:c>
      <x:c r="U338" s="99" t="n">
        <x:f>S338*(1+T338)</x:f>
        <x:v>1.49265</x:v>
      </x:c>
      <x:c r="V338" s="99" t="n">
        <x:f>S338</x:f>
        <x:v>1.395</x:v>
      </x:c>
      <x:c r="W338" s="99" t="n">
        <x:f>V338-S338</x:f>
        <x:v>0</x:v>
      </x:c>
      <x:c r="X338" s="114" t="n">
        <x:f>IFERROR(W338/V338,0)</x:f>
        <x:v>0</x:v>
      </x:c>
      <x:c r="Y338" s="38" t="str">
        <x:v>Por unidad</x:v>
      </x:c>
      <x:c r="Z338" s="38" t="str">
        <x:f>IF(Y338="Botella / 3 instalaciones","Precio botella / 3",IF(Y338="Por rollo o metros proporcionales","Si se pasa rollo: rollo completo. Si se pasan metros: proporcional",Y338))</x:f>
        <x:v>Por unidad</x:v>
      </x:c>
      <x:c r="AA338" s="38" t="n">
        <x:v>1</x:v>
      </x:c>
      <x:c r="AB338" s="38" t="str"/>
      <x:c r="AC338" s="38" t="str"/>
      <x:c r="AD338" s="116" t="str">
        <x:v>2026-06-30</x:v>
      </x:c>
      <x:c r="AE338" s="38" t="str">
        <x:v>Sí</x:v>
      </x:c>
      <x:c r="AF338" s="38" t="str">
        <x:v>Revisar categoría antes de usar en cálculo automático.</x:v>
      </x:c>
    </x:row>
    <x:row r="339">
      <x:c r="A339" s="38" t="str">
        <x:v>MAT-0338</x:v>
      </x:c>
      <x:c r="B339" s="38" t="str">
        <x:v>Sí</x:v>
      </x:c>
      <x:c r="C339" s="38" t="str">
        <x:v>Sin clasificar</x:v>
      </x:c>
      <x:c r="D339" s="38" t="str"/>
      <x:c r="E339" s="38" t="str">
        <x:v>Placa One 3H Blanco Leche Tb</x:v>
      </x:c>
      <x:c r="F339" s="38" t="str">
        <x:v>PLACA ONE 3H BLANCO LECHE TB</x:v>
      </x:c>
      <x:c r="G339" s="38" t="str">
        <x:v>GEW-GW16103TB / 91610300</x:v>
      </x:c>
      <x:c r="H339" s="38" t="str">
        <x:v>Comercial Eléctrica Canarias, S.A.</x:v>
      </x:c>
      <x:c r="I339" s="38" t="str">
        <x:v>Factura 92010826</x:v>
      </x:c>
      <x:c r="J339" s="115" t="str">
        <x:v>15/05/2026</x:v>
      </x:c>
      <x:c r="K339" s="38" t="str">
        <x:v>Albarán 162.533/016 (13/05/2026)</x:v>
      </x:c>
      <x:c r="L339" s="38" t="n">
        <x:v>2</x:v>
      </x:c>
      <x:c r="M339" s="38" t="str">
        <x:v>Unidad</x:v>
      </x:c>
      <x:c r="N339" s="38" t="n">
        <x:v>1</x:v>
      </x:c>
      <x:c r="O339" s="38" t="str">
        <x:v>Unidad</x:v>
      </x:c>
      <x:c r="P339" s="99" t="n">
        <x:v>1.5</x:v>
      </x:c>
      <x:c r="Q339" s="114" t="n">
        <x:v>0</x:v>
      </x:c>
      <x:c r="R339" s="99" t="n">
        <x:v>3</x:v>
      </x:c>
      <x:c r="S339" s="99" t="n">
        <x:f>IFERROR(R339/L339,P339*(1-Q339))</x:f>
        <x:v>1.5</x:v>
      </x:c>
      <x:c r="T339" s="114" t="n">
        <x:v>0.07</x:v>
      </x:c>
      <x:c r="U339" s="99" t="n">
        <x:f>S339*(1+T339)</x:f>
        <x:v>1.605</x:v>
      </x:c>
      <x:c r="V339" s="99" t="n">
        <x:f>S339</x:f>
        <x:v>1.5</x:v>
      </x:c>
      <x:c r="W339" s="99" t="n">
        <x:f>V339-S339</x:f>
        <x:v>0</x:v>
      </x:c>
      <x:c r="X339" s="114" t="n">
        <x:f>IFERROR(W339/V339,0)</x:f>
        <x:v>0</x:v>
      </x:c>
      <x:c r="Y339" s="38" t="str">
        <x:v>Por unidad</x:v>
      </x:c>
      <x:c r="Z339" s="38" t="str">
        <x:f>IF(Y339="Botella / 3 instalaciones","Precio botella / 3",IF(Y339="Por rollo o metros proporcionales","Si se pasa rollo: rollo completo. Si se pasan metros: proporcional",Y339))</x:f>
        <x:v>Por unidad</x:v>
      </x:c>
      <x:c r="AA339" s="38" t="n">
        <x:v>1</x:v>
      </x:c>
      <x:c r="AB339" s="38" t="str"/>
      <x:c r="AC339" s="38" t="str"/>
      <x:c r="AD339" s="116" t="str">
        <x:v>2026-06-30</x:v>
      </x:c>
      <x:c r="AE339" s="38" t="str">
        <x:v>Sí</x:v>
      </x:c>
      <x:c r="AF339" s="38" t="str">
        <x:v>Revisar categoría antes de usar en cálculo automático.</x:v>
      </x:c>
    </x:row>
    <x:row r="340">
      <x:c r="A340" s="38" t="str">
        <x:v>MAT-0339</x:v>
      </x:c>
      <x:c r="B340" s="38" t="str">
        <x:v>Sí</x:v>
      </x:c>
      <x:c r="C340" s="38" t="str">
        <x:v>Pequeño material</x:v>
      </x:c>
      <x:c r="D340" s="38" t="str">
        <x:v>Consumible</x:v>
      </x:c>
      <x:c r="E340" s="38" t="str">
        <x:v>Taco Ciego Blanco 1M</x:v>
      </x:c>
      <x:c r="F340" s="38" t="str">
        <x:v>TACO CIEGO BLANCO 1M</x:v>
      </x:c>
      <x:c r="G340" s="38" t="str">
        <x:v>GEW-GW10195 / 910195</x:v>
      </x:c>
      <x:c r="H340" s="38" t="str">
        <x:v>Comercial Eléctrica Canarias, S.A.</x:v>
      </x:c>
      <x:c r="I340" s="38" t="str">
        <x:v>Factura 92010826</x:v>
      </x:c>
      <x:c r="J340" s="115" t="str">
        <x:v>15/05/2026</x:v>
      </x:c>
      <x:c r="K340" s="38" t="str">
        <x:v>Albarán 162.533/016 (13/05/2026)</x:v>
      </x:c>
      <x:c r="L340" s="38" t="n">
        <x:v>2</x:v>
      </x:c>
      <x:c r="M340" s="38" t="str">
        <x:v>Unidad</x:v>
      </x:c>
      <x:c r="N340" s="38" t="n">
        <x:v>1</x:v>
      </x:c>
      <x:c r="O340" s="38" t="str">
        <x:v>Unidad</x:v>
      </x:c>
      <x:c r="P340" s="99" t="n">
        <x:v>0.701</x:v>
      </x:c>
      <x:c r="Q340" s="114" t="n">
        <x:v>0</x:v>
      </x:c>
      <x:c r="R340" s="99" t="n">
        <x:v>1.4</x:v>
      </x:c>
      <x:c r="S340" s="99" t="n">
        <x:f>IFERROR(R340/L340,P340*(1-Q340))</x:f>
        <x:v>0.7</x:v>
      </x:c>
      <x:c r="T340" s="114" t="n">
        <x:v>0.07</x:v>
      </x:c>
      <x:c r="U340" s="99" t="n">
        <x:f>S340*(1+T340)</x:f>
        <x:v>0.749</x:v>
      </x:c>
      <x:c r="V340" s="99" t="n">
        <x:f>S340</x:f>
        <x:v>0.7</x:v>
      </x:c>
      <x:c r="W340" s="99" t="n">
        <x:f>V340-S340</x:f>
        <x:v>0</x:v>
      </x:c>
      <x:c r="X340" s="114" t="n">
        <x:f>IFERROR(W340/V340,0)</x:f>
        <x:v>0</x:v>
      </x:c>
      <x:c r="Y340" s="38" t="str">
        <x:v>Por unidad</x:v>
      </x:c>
      <x:c r="Z340" s="38" t="str">
        <x:f>IF(Y340="Botella / 3 instalaciones","Precio botella / 3",IF(Y340="Por rollo o metros proporcionales","Si se pasa rollo: rollo completo. Si se pasan metros: proporcional",Y340))</x:f>
        <x:v>Por unidad</x:v>
      </x:c>
      <x:c r="AA340" s="38" t="n">
        <x:v>1</x:v>
      </x:c>
      <x:c r="AB340" s="38" t="str"/>
      <x:c r="AC340" s="38" t="str"/>
      <x:c r="AD340" s="116" t="str">
        <x:v>2026-06-30</x:v>
      </x:c>
      <x:c r="AE340" s="38" t="str">
        <x:v>No</x:v>
      </x:c>
      <x:c r="AF340" s="38" t="str"/>
    </x:row>
    <x:row r="341">
      <x:c r="A341" s="38" t="str">
        <x:v>MAT-0340</x:v>
      </x:c>
      <x:c r="B341" s="38" t="str">
        <x:v>Sí</x:v>
      </x:c>
      <x:c r="C341" s="38" t="str">
        <x:v>Sin clasificar</x:v>
      </x:c>
      <x:c r="D341" s="38" t="str"/>
      <x:c r="E341" s="38" t="str">
        <x:v>Conmutador Blanco 1M 16A</x:v>
      </x:c>
      <x:c r="F341" s="38" t="str">
        <x:v>CONMUTADOR BLANCO 1M 16A</x:v>
      </x:c>
      <x:c r="G341" s="38" t="str">
        <x:v>GEW-GW10051 / 910051</x:v>
      </x:c>
      <x:c r="H341" s="38" t="str">
        <x:v>Comercial Eléctrica Canarias, S.A.</x:v>
      </x:c>
      <x:c r="I341" s="38" t="str">
        <x:v>Factura 92010826</x:v>
      </x:c>
      <x:c r="J341" s="115" t="str">
        <x:v>15/05/2026</x:v>
      </x:c>
      <x:c r="K341" s="38" t="str">
        <x:v>Albarán 162.533/016 (13/05/2026)</x:v>
      </x:c>
      <x:c r="L341" s="38" t="n">
        <x:v>2</x:v>
      </x:c>
      <x:c r="M341" s="38" t="str">
        <x:v>Unidad</x:v>
      </x:c>
      <x:c r="N341" s="38" t="n">
        <x:v>1</x:v>
      </x:c>
      <x:c r="O341" s="38" t="str">
        <x:v>Unidad</x:v>
      </x:c>
      <x:c r="P341" s="99" t="n">
        <x:v>2.496</x:v>
      </x:c>
      <x:c r="Q341" s="114" t="n">
        <x:v>0</x:v>
      </x:c>
      <x:c r="R341" s="99" t="n">
        <x:v>4.99</x:v>
      </x:c>
      <x:c r="S341" s="99" t="n">
        <x:f>IFERROR(R341/L341,P341*(1-Q341))</x:f>
        <x:v>2.495</x:v>
      </x:c>
      <x:c r="T341" s="114" t="n">
        <x:v>0.07</x:v>
      </x:c>
      <x:c r="U341" s="99" t="n">
        <x:f>S341*(1+T341)</x:f>
        <x:v>2.6696500000000003</x:v>
      </x:c>
      <x:c r="V341" s="99" t="n">
        <x:f>S341</x:f>
        <x:v>2.495</x:v>
      </x:c>
      <x:c r="W341" s="99" t="n">
        <x:f>V341-S341</x:f>
        <x:v>0</x:v>
      </x:c>
      <x:c r="X341" s="114" t="n">
        <x:f>IFERROR(W341/V341,0)</x:f>
        <x:v>0</x:v>
      </x:c>
      <x:c r="Y341" s="38" t="str">
        <x:v>Por unidad</x:v>
      </x:c>
      <x:c r="Z341" s="38" t="str">
        <x:f>IF(Y341="Botella / 3 instalaciones","Precio botella / 3",IF(Y341="Por rollo o metros proporcionales","Si se pasa rollo: rollo completo. Si se pasan metros: proporcional",Y341))</x:f>
        <x:v>Por unidad</x:v>
      </x:c>
      <x:c r="AA341" s="38" t="n">
        <x:v>1</x:v>
      </x:c>
      <x:c r="AB341" s="38" t="str"/>
      <x:c r="AC341" s="38" t="str"/>
      <x:c r="AD341" s="116" t="str">
        <x:v>2026-06-30</x:v>
      </x:c>
      <x:c r="AE341" s="38" t="str">
        <x:v>Sí</x:v>
      </x:c>
      <x:c r="AF341" s="38" t="str">
        <x:v>Revisar categoría antes de usar en cálculo automático.</x:v>
      </x:c>
    </x:row>
    <x:row r="342">
      <x:c r="A342" s="38" t="str">
        <x:v>MAT-0341</x:v>
      </x:c>
      <x:c r="B342" s="38" t="str">
        <x:v>Sí</x:v>
      </x:c>
      <x:c r="C342" s="38" t="str">
        <x:v>Electricidad</x:v>
      </x:c>
      <x:c r="D342" s="38" t="str">
        <x:v>Protección/cuadro</x:v>
      </x:c>
      <x:c r="E342" s="38" t="str">
        <x:v>Diferencial 2P 40A 30Ma Ac</x:v>
      </x:c>
      <x:c r="F342" s="38" t="str">
        <x:v>DIFERENCIAL 2P 40A 30mA AC</x:v>
      </x:c>
      <x:c r="G342" s="38" t="str">
        <x:v>SCH-A9R60240CAN / 10060240</x:v>
      </x:c>
      <x:c r="H342" s="38" t="str">
        <x:v>Comercial Eléctrica Canarias, S.A.</x:v>
      </x:c>
      <x:c r="I342" s="38" t="str">
        <x:v>Factura 91782626</x:v>
      </x:c>
      <x:c r="J342" s="115" t="str">
        <x:v>30/04/2026</x:v>
      </x:c>
      <x:c r="K342" s="38" t="str">
        <x:v>Albarán 81.178/008 (21/04/2026)</x:v>
      </x:c>
      <x:c r="L342" s="38" t="n">
        <x:v>1</x:v>
      </x:c>
      <x:c r="M342" s="38" t="str">
        <x:v>Unidad</x:v>
      </x:c>
      <x:c r="N342" s="38" t="n">
        <x:v>1</x:v>
      </x:c>
      <x:c r="O342" s="38" t="str">
        <x:v>Unidad</x:v>
      </x:c>
      <x:c r="P342" s="99" t="n">
        <x:v>14.654</x:v>
      </x:c>
      <x:c r="Q342" s="114" t="n">
        <x:v>0</x:v>
      </x:c>
      <x:c r="R342" s="99" t="n">
        <x:v>14.65</x:v>
      </x:c>
      <x:c r="S342" s="99" t="n">
        <x:f>IFERROR(R342/L342,P342*(1-Q342))</x:f>
        <x:v>14.65</x:v>
      </x:c>
      <x:c r="T342" s="114" t="n">
        <x:v>0.07</x:v>
      </x:c>
      <x:c r="U342" s="99" t="n">
        <x:f>S342*(1+T342)</x:f>
        <x:v>15.675500000000001</x:v>
      </x:c>
      <x:c r="V342" s="99" t="n">
        <x:f>S342</x:f>
        <x:v>14.65</x:v>
      </x:c>
      <x:c r="W342" s="99" t="n">
        <x:f>V342-S342</x:f>
        <x:v>0</x:v>
      </x:c>
      <x:c r="X342" s="114" t="n">
        <x:f>IFERROR(W342/V342,0)</x:f>
        <x:v>0</x:v>
      </x:c>
      <x:c r="Y342" s="38" t="str">
        <x:v>Por unidad</x:v>
      </x:c>
      <x:c r="Z342" s="38" t="str">
        <x:f>IF(Y342="Botella / 3 instalaciones","Precio botella / 3",IF(Y342="Por rollo o metros proporcionales","Si se pasa rollo: rollo completo. Si se pasan metros: proporcional",Y342))</x:f>
        <x:v>Por unidad</x:v>
      </x:c>
      <x:c r="AA342" s="38" t="n">
        <x:v>1</x:v>
      </x:c>
      <x:c r="AB342" s="38" t="str"/>
      <x:c r="AC342" s="38" t="str"/>
      <x:c r="AD342" s="116" t="str">
        <x:v>2026-06-30</x:v>
      </x:c>
      <x:c r="AE342" s="38" t="str">
        <x:v>No</x:v>
      </x:c>
      <x:c r="AF342" s="38" t="str"/>
    </x:row>
    <x:row r="343">
      <x:c r="A343" s="38" t="str">
        <x:v>MAT-0342</x:v>
      </x:c>
      <x:c r="B343" s="38" t="str">
        <x:v>Sí</x:v>
      </x:c>
      <x:c r="C343" s="38" t="str">
        <x:v>Sin clasificar</x:v>
      </x:c>
      <x:c r="D343" s="38" t="str"/>
      <x:c r="E343" s="38" t="str">
        <x:v>Chasis Univ. 1 Elem.Plast.Nu</x:v>
      </x:c>
      <x:c r="F343" s="38" t="str">
        <x:v>CHASIS UNIV. 1 ELEM.PLAST.NU</x:v>
      </x:c>
      <x:c r="G343" s="38" t="str">
        <x:v>SCH-NU7002P / 6700210</x:v>
      </x:c>
      <x:c r="H343" s="38" t="str">
        <x:v>Comercial Eléctrica Canarias, S.A.</x:v>
      </x:c>
      <x:c r="I343" s="38" t="str">
        <x:v>Factura 91782626</x:v>
      </x:c>
      <x:c r="J343" s="115" t="str">
        <x:v>30/04/2026</x:v>
      </x:c>
      <x:c r="K343" s="38" t="str">
        <x:v>Albarán 81.178/008 (21/04/2026)</x:v>
      </x:c>
      <x:c r="L343" s="38" t="n">
        <x:v>2</x:v>
      </x:c>
      <x:c r="M343" s="38" t="str">
        <x:v>Unidad</x:v>
      </x:c>
      <x:c r="N343" s="38" t="n">
        <x:v>1</x:v>
      </x:c>
      <x:c r="O343" s="38" t="str">
        <x:v>Unidad</x:v>
      </x:c>
      <x:c r="P343" s="99" t="n">
        <x:v>0.394</x:v>
      </x:c>
      <x:c r="Q343" s="114" t="n">
        <x:v>0</x:v>
      </x:c>
      <x:c r="R343" s="99" t="n">
        <x:v>0.79</x:v>
      </x:c>
      <x:c r="S343" s="99" t="n">
        <x:f>IFERROR(R343/L343,P343*(1-Q343))</x:f>
        <x:v>0.395</x:v>
      </x:c>
      <x:c r="T343" s="114" t="n">
        <x:v>0.07</x:v>
      </x:c>
      <x:c r="U343" s="99" t="n">
        <x:f>S343*(1+T343)</x:f>
        <x:v>0.42265</x:v>
      </x:c>
      <x:c r="V343" s="99" t="n">
        <x:f>S343</x:f>
        <x:v>0.395</x:v>
      </x:c>
      <x:c r="W343" s="99" t="n">
        <x:f>V343-S343</x:f>
        <x:v>0</x:v>
      </x:c>
      <x:c r="X343" s="114" t="n">
        <x:f>IFERROR(W343/V343,0)</x:f>
        <x:v>0</x:v>
      </x:c>
      <x:c r="Y343" s="38" t="str">
        <x:v>Por unidad</x:v>
      </x:c>
      <x:c r="Z343" s="38" t="str">
        <x:f>IF(Y343="Botella / 3 instalaciones","Precio botella / 3",IF(Y343="Por rollo o metros proporcionales","Si se pasa rollo: rollo completo. Si se pasan metros: proporcional",Y343))</x:f>
        <x:v>Por unidad</x:v>
      </x:c>
      <x:c r="AA343" s="38" t="n">
        <x:v>1</x:v>
      </x:c>
      <x:c r="AB343" s="38" t="str"/>
      <x:c r="AC343" s="38" t="str"/>
      <x:c r="AD343" s="116" t="str">
        <x:v>2026-06-30</x:v>
      </x:c>
      <x:c r="AE343" s="38" t="str">
        <x:v>Sí</x:v>
      </x:c>
      <x:c r="AF343" s="38" t="str">
        <x:v>Revisar categoría antes de usar en cálculo automático.</x:v>
      </x:c>
    </x:row>
    <x:row r="344">
      <x:c r="A344" s="38" t="str">
        <x:v>MAT-0343</x:v>
      </x:c>
      <x:c r="B344" s="38" t="str">
        <x:v>Sí</x:v>
      </x:c>
      <x:c r="C344" s="38" t="str">
        <x:v>Sin clasificar</x:v>
      </x:c>
      <x:c r="D344" s="38" t="str"/>
      <x:c r="E344" s="38" t="str">
        <x:v>Marco Unica Stud.2+2M Bla Nu</x:v>
      </x:c>
      <x:c r="F344" s="38" t="str">
        <x:v>MARCO UNICA STUD.2+2M BLA NU</x:v>
      </x:c>
      <x:c r="G344" s="38" t="str">
        <x:v>SCH-NU200418 / 6200418</x:v>
      </x:c>
      <x:c r="H344" s="38" t="str">
        <x:v>Comercial Eléctrica Canarias, S.A.</x:v>
      </x:c>
      <x:c r="I344" s="38" t="str">
        <x:v>Factura 91782626</x:v>
      </x:c>
      <x:c r="J344" s="115" t="str">
        <x:v>30/04/2026</x:v>
      </x:c>
      <x:c r="K344" s="38" t="str">
        <x:v>Albarán 81.178/008 (21/04/2026)</x:v>
      </x:c>
      <x:c r="L344" s="38" t="n">
        <x:v>1</x:v>
      </x:c>
      <x:c r="M344" s="38" t="str">
        <x:v>Unidad</x:v>
      </x:c>
      <x:c r="N344" s="38" t="n">
        <x:v>1</x:v>
      </x:c>
      <x:c r="O344" s="38" t="str">
        <x:v>Unidad</x:v>
      </x:c>
      <x:c r="P344" s="99" t="n">
        <x:v>1.985</x:v>
      </x:c>
      <x:c r="Q344" s="114" t="n">
        <x:v>0</x:v>
      </x:c>
      <x:c r="R344" s="99" t="n">
        <x:v>1.99</x:v>
      </x:c>
      <x:c r="S344" s="99" t="n">
        <x:f>IFERROR(R344/L344,P344*(1-Q344))</x:f>
        <x:v>1.99</x:v>
      </x:c>
      <x:c r="T344" s="114" t="n">
        <x:v>0.07</x:v>
      </x:c>
      <x:c r="U344" s="99" t="n">
        <x:f>S344*(1+T344)</x:f>
        <x:v>2.1293</x:v>
      </x:c>
      <x:c r="V344" s="99" t="n">
        <x:f>S344</x:f>
        <x:v>1.99</x:v>
      </x:c>
      <x:c r="W344" s="99" t="n">
        <x:f>V344-S344</x:f>
        <x:v>0</x:v>
      </x:c>
      <x:c r="X344" s="114" t="n">
        <x:f>IFERROR(W344/V344,0)</x:f>
        <x:v>0</x:v>
      </x:c>
      <x:c r="Y344" s="38" t="str">
        <x:v>Por unidad</x:v>
      </x:c>
      <x:c r="Z344" s="38" t="str">
        <x:f>IF(Y344="Botella / 3 instalaciones","Precio botella / 3",IF(Y344="Por rollo o metros proporcionales","Si se pasa rollo: rollo completo. Si se pasan metros: proporcional",Y344))</x:f>
        <x:v>Por unidad</x:v>
      </x:c>
      <x:c r="AA344" s="38" t="n">
        <x:v>1</x:v>
      </x:c>
      <x:c r="AB344" s="38" t="str"/>
      <x:c r="AC344" s="38" t="str"/>
      <x:c r="AD344" s="116" t="str">
        <x:v>2026-06-30</x:v>
      </x:c>
      <x:c r="AE344" s="38" t="str">
        <x:v>Sí</x:v>
      </x:c>
      <x:c r="AF344" s="38" t="str">
        <x:v>Revisar categoría antes de usar en cálculo automático.</x:v>
      </x:c>
    </x:row>
    <x:row r="345">
      <x:c r="A345" s="38" t="str">
        <x:v>MAT-0344</x:v>
      </x:c>
      <x:c r="B345" s="38" t="str">
        <x:v>Sí</x:v>
      </x:c>
      <x:c r="C345" s="38" t="str">
        <x:v>Sin clasificar</x:v>
      </x:c>
      <x:c r="D345" s="38" t="str"/>
      <x:c r="E345" s="38" t="str">
        <x:v>Base Schuko 16A Blanco Nu</x:v>
      </x:c>
      <x:c r="F345" s="38" t="str">
        <x:v>BASE SCHUKO 16A BLANCO NU</x:v>
      </x:c>
      <x:c r="G345" s="38" t="str">
        <x:v>SCH-NU303718 / 6303718</x:v>
      </x:c>
      <x:c r="H345" s="38" t="str">
        <x:v>Comercial Eléctrica Canarias, S.A.</x:v>
      </x:c>
      <x:c r="I345" s="38" t="str">
        <x:v>Factura 91782626</x:v>
      </x:c>
      <x:c r="J345" s="115" t="str">
        <x:v>30/04/2026</x:v>
      </x:c>
      <x:c r="K345" s="38" t="str">
        <x:v>Albarán 81.178/008 (21/04/2026)</x:v>
      </x:c>
      <x:c r="L345" s="38" t="n">
        <x:v>1</x:v>
      </x:c>
      <x:c r="M345" s="38" t="str">
        <x:v>Unidad</x:v>
      </x:c>
      <x:c r="N345" s="38" t="n">
        <x:v>1</x:v>
      </x:c>
      <x:c r="O345" s="38" t="str">
        <x:v>Unidad</x:v>
      </x:c>
      <x:c r="P345" s="99" t="n">
        <x:v>2.888</x:v>
      </x:c>
      <x:c r="Q345" s="114" t="n">
        <x:v>0</x:v>
      </x:c>
      <x:c r="R345" s="99" t="n">
        <x:v>2.89</x:v>
      </x:c>
      <x:c r="S345" s="99" t="n">
        <x:f>IFERROR(R345/L345,P345*(1-Q345))</x:f>
        <x:v>2.89</x:v>
      </x:c>
      <x:c r="T345" s="114" t="n">
        <x:v>0.07</x:v>
      </x:c>
      <x:c r="U345" s="99" t="n">
        <x:f>S345*(1+T345)</x:f>
        <x:v>3.0923000000000003</x:v>
      </x:c>
      <x:c r="V345" s="99" t="n">
        <x:f>S345</x:f>
        <x:v>2.89</x:v>
      </x:c>
      <x:c r="W345" s="99" t="n">
        <x:f>V345-S345</x:f>
        <x:v>0</x:v>
      </x:c>
      <x:c r="X345" s="114" t="n">
        <x:f>IFERROR(W345/V345,0)</x:f>
        <x:v>0</x:v>
      </x:c>
      <x:c r="Y345" s="38" t="str">
        <x:v>Por unidad</x:v>
      </x:c>
      <x:c r="Z345" s="38" t="str">
        <x:f>IF(Y345="Botella / 3 instalaciones","Precio botella / 3",IF(Y345="Por rollo o metros proporcionales","Si se pasa rollo: rollo completo. Si se pasan metros: proporcional",Y345))</x:f>
        <x:v>Por unidad</x:v>
      </x:c>
      <x:c r="AA345" s="38" t="n">
        <x:v>1</x:v>
      </x:c>
      <x:c r="AB345" s="38" t="str"/>
      <x:c r="AC345" s="38" t="str"/>
      <x:c r="AD345" s="116" t="str">
        <x:v>2026-06-30</x:v>
      </x:c>
      <x:c r="AE345" s="38" t="str">
        <x:v>Sí</x:v>
      </x:c>
      <x:c r="AF345" s="38" t="str">
        <x:v>Revisar categoría antes de usar en cálculo automático.</x:v>
      </x:c>
    </x:row>
    <x:row r="346">
      <x:c r="A346" s="38" t="str">
        <x:v>MAT-0345</x:v>
      </x:c>
      <x:c r="B346" s="38" t="str">
        <x:v>Sí</x:v>
      </x:c>
      <x:c r="C346" s="38" t="str">
        <x:v>Sin clasificar</x:v>
      </x:c>
      <x:c r="D346" s="38" t="str"/>
      <x:c r="E346" s="38" t="str">
        <x:v>Toma Rj45 6 Utp Ancha Blanc.Nu</x:v>
      </x:c>
      <x:c r="F346" s="38" t="str">
        <x:v>TOMA RJ45 6 UTP ANCHA BLANC.NU</x:v>
      </x:c>
      <x:c r="G346" s="38" t="str">
        <x:v>SCH-NU341518 / 6341518</x:v>
      </x:c>
      <x:c r="H346" s="38" t="str">
        <x:v>Comercial Eléctrica Canarias, S.A.</x:v>
      </x:c>
      <x:c r="I346" s="38" t="str">
        <x:v>Factura 91782626</x:v>
      </x:c>
      <x:c r="J346" s="115" t="str">
        <x:v>30/04/2026</x:v>
      </x:c>
      <x:c r="K346" s="38" t="str">
        <x:v>Albarán 81.178/008 (21/04/2026)</x:v>
      </x:c>
      <x:c r="L346" s="38" t="n">
        <x:v>1</x:v>
      </x:c>
      <x:c r="M346" s="38" t="str">
        <x:v>Unidad</x:v>
      </x:c>
      <x:c r="N346" s="38" t="n">
        <x:v>1</x:v>
      </x:c>
      <x:c r="O346" s="38" t="str">
        <x:v>Unidad</x:v>
      </x:c>
      <x:c r="P346" s="99" t="n">
        <x:v>11.675</x:v>
      </x:c>
      <x:c r="Q346" s="114" t="n">
        <x:v>0</x:v>
      </x:c>
      <x:c r="R346" s="99" t="n">
        <x:v>11.68</x:v>
      </x:c>
      <x:c r="S346" s="99" t="n">
        <x:f>IFERROR(R346/L346,P346*(1-Q346))</x:f>
        <x:v>11.68</x:v>
      </x:c>
      <x:c r="T346" s="114" t="n">
        <x:v>0.07</x:v>
      </x:c>
      <x:c r="U346" s="99" t="n">
        <x:f>S346*(1+T346)</x:f>
        <x:v>12.4976</x:v>
      </x:c>
      <x:c r="V346" s="99" t="n">
        <x:f>S346</x:f>
        <x:v>11.68</x:v>
      </x:c>
      <x:c r="W346" s="99" t="n">
        <x:f>V346-S346</x:f>
        <x:v>0</x:v>
      </x:c>
      <x:c r="X346" s="114" t="n">
        <x:f>IFERROR(W346/V346,0)</x:f>
        <x:v>0</x:v>
      </x:c>
      <x:c r="Y346" s="38" t="str">
        <x:v>Por unidad</x:v>
      </x:c>
      <x:c r="Z346" s="38" t="str">
        <x:f>IF(Y346="Botella / 3 instalaciones","Precio botella / 3",IF(Y346="Por rollo o metros proporcionales","Si se pasa rollo: rollo completo. Si se pasan metros: proporcional",Y346))</x:f>
        <x:v>Por unidad</x:v>
      </x:c>
      <x:c r="AA346" s="38" t="n">
        <x:v>1</x:v>
      </x:c>
      <x:c r="AB346" s="38" t="str"/>
      <x:c r="AC346" s="38" t="str"/>
      <x:c r="AD346" s="116" t="str">
        <x:v>2026-06-30</x:v>
      </x:c>
      <x:c r="AE346" s="38" t="str">
        <x:v>Sí</x:v>
      </x:c>
      <x:c r="AF346" s="38" t="str">
        <x:v>Revisar categoría antes de usar en cálculo automático.</x:v>
      </x:c>
    </x:row>
    <x:row r="347">
      <x:c r="A347" s="38" t="str">
        <x:v>MAT-0346</x:v>
      </x:c>
      <x:c r="B347" s="38" t="str">
        <x:v>Sí</x:v>
      </x:c>
      <x:c r="C347" s="38" t="str">
        <x:v>Sin clasificar</x:v>
      </x:c>
      <x:c r="D347" s="38" t="str"/>
      <x:c r="E347" s="38" t="str">
        <x:v>Base Schuko Blanco 2M 16 N.Esp</x:v>
      </x:c>
      <x:c r="F347" s="38" t="str">
        <x:v>BASE SCHUKO BLANCO 2M 16 N.ESP</x:v>
      </x:c>
      <x:c r="G347" s="38" t="str">
        <x:v>GEW-GW10241 / 910241</x:v>
      </x:c>
      <x:c r="H347" s="38" t="str">
        <x:v>Comercial Eléctrica Canarias, S.A.</x:v>
      </x:c>
      <x:c r="I347" s="38" t="str">
        <x:v>Factura 91782626</x:v>
      </x:c>
      <x:c r="J347" s="115" t="str">
        <x:v>30/04/2026</x:v>
      </x:c>
      <x:c r="K347" s="38" t="str">
        <x:v>Albarán 132.114/013 (22/04/2026)</x:v>
      </x:c>
      <x:c r="L347" s="38" t="n">
        <x:v>11</x:v>
      </x:c>
      <x:c r="M347" s="38" t="str">
        <x:v>Unidad</x:v>
      </x:c>
      <x:c r="N347" s="38" t="n">
        <x:v>1</x:v>
      </x:c>
      <x:c r="O347" s="38" t="str">
        <x:v>Unidad</x:v>
      </x:c>
      <x:c r="P347" s="99" t="n">
        <x:v>2.877</x:v>
      </x:c>
      <x:c r="Q347" s="114" t="n">
        <x:v>0</x:v>
      </x:c>
      <x:c r="R347" s="99" t="n">
        <x:v>31.65</x:v>
      </x:c>
      <x:c r="S347" s="99" t="n">
        <x:f>IFERROR(R347/L347,P347*(1-Q347))</x:f>
        <x:v>2.877272727272727</x:v>
      </x:c>
      <x:c r="T347" s="114" t="n">
        <x:v>0.07</x:v>
      </x:c>
      <x:c r="U347" s="99" t="n">
        <x:f>S347*(1+T347)</x:f>
        <x:v>3.078681818181818</x:v>
      </x:c>
      <x:c r="V347" s="99" t="n">
        <x:f>S347</x:f>
        <x:v>2.877272727272727</x:v>
      </x:c>
      <x:c r="W347" s="99" t="n">
        <x:f>V347-S347</x:f>
        <x:v>0</x:v>
      </x:c>
      <x:c r="X347" s="114" t="n">
        <x:f>IFERROR(W347/V347,0)</x:f>
        <x:v>0</x:v>
      </x:c>
      <x:c r="Y347" s="38" t="str">
        <x:v>Por unidad</x:v>
      </x:c>
      <x:c r="Z347" s="38" t="str">
        <x:f>IF(Y347="Botella / 3 instalaciones","Precio botella / 3",IF(Y347="Por rollo o metros proporcionales","Si se pasa rollo: rollo completo. Si se pasan metros: proporcional",Y347))</x:f>
        <x:v>Por unidad</x:v>
      </x:c>
      <x:c r="AA347" s="38" t="n">
        <x:v>1</x:v>
      </x:c>
      <x:c r="AB347" s="38" t="str"/>
      <x:c r="AC347" s="38" t="str"/>
      <x:c r="AD347" s="116" t="str">
        <x:v>2026-06-30</x:v>
      </x:c>
      <x:c r="AE347" s="38" t="str">
        <x:v>Sí</x:v>
      </x:c>
      <x:c r="AF347" s="38" t="str">
        <x:v>Revisar categoría antes de usar en cálculo automático.</x:v>
      </x:c>
    </x:row>
    <x:row r="348">
      <x:c r="A348" s="38" t="str">
        <x:v>MAT-0347</x:v>
      </x:c>
      <x:c r="B348" s="38" t="str">
        <x:v>Sí</x:v>
      </x:c>
      <x:c r="C348" s="38" t="str">
        <x:v>Soportes y fijaciones</x:v>
      </x:c>
      <x:c r="D348" s="38" t="str">
        <x:v>Soportes/amortiguadores</x:v>
      </x:c>
      <x:c r="E348" s="38" t="str">
        <x:v>Soporte 2M Torn.Caja Cuadra</x:v>
      </x:c>
      <x:c r="F348" s="38" t="str">
        <x:v>SOPORTE 2M TORN.CAJA CUADRA</x:v>
      </x:c>
      <x:c r="G348" s="38" t="str">
        <x:v>GEW-GW16822 / 916822</x:v>
      </x:c>
      <x:c r="H348" s="38" t="str">
        <x:v>Comercial Eléctrica Canarias, S.A.</x:v>
      </x:c>
      <x:c r="I348" s="38" t="str">
        <x:v>Factura 91782626</x:v>
      </x:c>
      <x:c r="J348" s="115" t="str">
        <x:v>30/04/2026</x:v>
      </x:c>
      <x:c r="K348" s="38" t="str">
        <x:v>Albarán 132.114/013 (22/04/2026)</x:v>
      </x:c>
      <x:c r="L348" s="38" t="n">
        <x:v>1</x:v>
      </x:c>
      <x:c r="M348" s="38" t="str">
        <x:v>Unidad</x:v>
      </x:c>
      <x:c r="N348" s="38" t="n">
        <x:v>1</x:v>
      </x:c>
      <x:c r="O348" s="38" t="str">
        <x:v>Unidad</x:v>
      </x:c>
      <x:c r="P348" s="99" t="n">
        <x:v>0.39</x:v>
      </x:c>
      <x:c r="Q348" s="114" t="n">
        <x:v>0</x:v>
      </x:c>
      <x:c r="R348" s="99" t="n">
        <x:v>0.39</x:v>
      </x:c>
      <x:c r="S348" s="99" t="n">
        <x:f>IFERROR(R348/L348,P348*(1-Q348))</x:f>
        <x:v>0.39</x:v>
      </x:c>
      <x:c r="T348" s="114" t="n">
        <x:v>0.07</x:v>
      </x:c>
      <x:c r="U348" s="99" t="n">
        <x:f>S348*(1+T348)</x:f>
        <x:v>0.41730000000000006</x:v>
      </x:c>
      <x:c r="V348" s="99" t="n">
        <x:f>S348</x:f>
        <x:v>0.39</x:v>
      </x:c>
      <x:c r="W348" s="99" t="n">
        <x:f>V348-S348</x:f>
        <x:v>0</x:v>
      </x:c>
      <x:c r="X348" s="114" t="n">
        <x:f>IFERROR(W348/V348,0)</x:f>
        <x:v>0</x:v>
      </x:c>
      <x:c r="Y348" s="38" t="str">
        <x:v>Por unidad</x:v>
      </x:c>
      <x:c r="Z348" s="38" t="str">
        <x:f>IF(Y348="Botella / 3 instalaciones","Precio botella / 3",IF(Y348="Por rollo o metros proporcionales","Si se pasa rollo: rollo completo. Si se pasan metros: proporcional",Y348))</x:f>
        <x:v>Por unidad</x:v>
      </x:c>
      <x:c r="AA348" s="38" t="n">
        <x:v>1</x:v>
      </x:c>
      <x:c r="AB348" s="38" t="str"/>
      <x:c r="AC348" s="38" t="str"/>
      <x:c r="AD348" s="116" t="str">
        <x:v>2026-06-30</x:v>
      </x:c>
      <x:c r="AE348" s="38" t="str">
        <x:v>No</x:v>
      </x:c>
      <x:c r="AF348" s="38" t="str"/>
    </x:row>
    <x:row r="349">
      <x:c r="A349" s="38" t="str">
        <x:v>MAT-0348</x:v>
      </x:c>
      <x:c r="B349" s="38" t="str">
        <x:v>Sí</x:v>
      </x:c>
      <x:c r="C349" s="38" t="str">
        <x:v>Sin clasificar</x:v>
      </x:c>
      <x:c r="D349" s="38" t="str"/>
      <x:c r="E349" s="38" t="str">
        <x:v>Placa Geo Uni 2H Blanco Tb</x:v>
      </x:c>
      <x:c r="F349" s="38" t="str">
        <x:v>PLACA GEO UNI 2H BLANCO TB</x:v>
      </x:c>
      <x:c r="G349" s="38" t="str">
        <x:v>GEW-GW16422TB / 91642200</x:v>
      </x:c>
      <x:c r="H349" s="38" t="str">
        <x:v>Comercial Eléctrica Canarias, S.A.</x:v>
      </x:c>
      <x:c r="I349" s="38" t="str">
        <x:v>Factura 91782626</x:v>
      </x:c>
      <x:c r="J349" s="115" t="str">
        <x:v>30/04/2026</x:v>
      </x:c>
      <x:c r="K349" s="38" t="str">
        <x:v>Albarán 132.114/013 (22/04/2026)</x:v>
      </x:c>
      <x:c r="L349" s="38" t="n">
        <x:v>1</x:v>
      </x:c>
      <x:c r="M349" s="38" t="str">
        <x:v>Unidad</x:v>
      </x:c>
      <x:c r="N349" s="38" t="n">
        <x:v>1</x:v>
      </x:c>
      <x:c r="O349" s="38" t="str">
        <x:v>Unidad</x:v>
      </x:c>
      <x:c r="P349" s="99" t="n">
        <x:v>1.1</x:v>
      </x:c>
      <x:c r="Q349" s="114" t="n">
        <x:v>0</x:v>
      </x:c>
      <x:c r="R349" s="99" t="n">
        <x:v>1.1</x:v>
      </x:c>
      <x:c r="S349" s="99" t="n">
        <x:f>IFERROR(R349/L349,P349*(1-Q349))</x:f>
        <x:v>1.1</x:v>
      </x:c>
      <x:c r="T349" s="114" t="n">
        <x:v>0.07</x:v>
      </x:c>
      <x:c r="U349" s="99" t="n">
        <x:f>S349*(1+T349)</x:f>
        <x:v>1.1770000000000003</x:v>
      </x:c>
      <x:c r="V349" s="99" t="n">
        <x:f>S349</x:f>
        <x:v>1.1</x:v>
      </x:c>
      <x:c r="W349" s="99" t="n">
        <x:f>V349-S349</x:f>
        <x:v>0</x:v>
      </x:c>
      <x:c r="X349" s="114" t="n">
        <x:f>IFERROR(W349/V349,0)</x:f>
        <x:v>0</x:v>
      </x:c>
      <x:c r="Y349" s="38" t="str">
        <x:v>Por unidad</x:v>
      </x:c>
      <x:c r="Z349" s="38" t="str">
        <x:f>IF(Y349="Botella / 3 instalaciones","Precio botella / 3",IF(Y349="Por rollo o metros proporcionales","Si se pasa rollo: rollo completo. Si se pasan metros: proporcional",Y349))</x:f>
        <x:v>Por unidad</x:v>
      </x:c>
      <x:c r="AA349" s="38" t="n">
        <x:v>1</x:v>
      </x:c>
      <x:c r="AB349" s="38" t="str"/>
      <x:c r="AC349" s="38" t="str"/>
      <x:c r="AD349" s="116" t="str">
        <x:v>2026-06-30</x:v>
      </x:c>
      <x:c r="AE349" s="38" t="str">
        <x:v>Sí</x:v>
      </x:c>
      <x:c r="AF349" s="38" t="str">
        <x:v>Revisar categoría antes de usar en cálculo automático.</x:v>
      </x:c>
    </x:row>
    <x:row r="350">
      <x:c r="A350" s="38" t="str">
        <x:v>MAT-0349</x:v>
      </x:c>
      <x:c r="B350" s="38" t="str">
        <x:v>Sí</x:v>
      </x:c>
      <x:c r="C350" s="38" t="str">
        <x:v>Sin clasificar</x:v>
      </x:c>
      <x:c r="D350" s="38" t="str"/>
      <x:c r="E350" s="38" t="str">
        <x:v>Marco Rectangular 2M Blan.Nu</x:v>
      </x:c>
      <x:c r="F350" s="38" t="str">
        <x:v>MARCO RECTANGULAR 2M BLAN.NU</x:v>
      </x:c>
      <x:c r="G350" s="38" t="str">
        <x:v>SCH-NU210218 / 6210218</x:v>
      </x:c>
      <x:c r="H350" s="38" t="str">
        <x:v>Comercial Eléctrica Canarias, S.A.</x:v>
      </x:c>
      <x:c r="I350" s="38" t="str">
        <x:v>Factura 91782626</x:v>
      </x:c>
      <x:c r="J350" s="115" t="str">
        <x:v>30/04/2026</x:v>
      </x:c>
      <x:c r="K350" s="38" t="str">
        <x:v>Albarán 132.114/013 (22/04/2026)</x:v>
      </x:c>
      <x:c r="L350" s="38" t="n">
        <x:v>2</x:v>
      </x:c>
      <x:c r="M350" s="38" t="str">
        <x:v>Unidad</x:v>
      </x:c>
      <x:c r="N350" s="38" t="n">
        <x:v>1</x:v>
      </x:c>
      <x:c r="O350" s="38" t="str">
        <x:v>Unidad</x:v>
      </x:c>
      <x:c r="P350" s="99" t="n">
        <x:v>1.177</x:v>
      </x:c>
      <x:c r="Q350" s="114" t="n">
        <x:v>0</x:v>
      </x:c>
      <x:c r="R350" s="99" t="n">
        <x:v>2.35</x:v>
      </x:c>
      <x:c r="S350" s="99" t="n">
        <x:f>IFERROR(R350/L350,P350*(1-Q350))</x:f>
        <x:v>1.175</x:v>
      </x:c>
      <x:c r="T350" s="114" t="n">
        <x:v>0.07</x:v>
      </x:c>
      <x:c r="U350" s="99" t="n">
        <x:f>S350*(1+T350)</x:f>
        <x:v>1.2572500000000002</x:v>
      </x:c>
      <x:c r="V350" s="99" t="n">
        <x:f>S350</x:f>
        <x:v>1.175</x:v>
      </x:c>
      <x:c r="W350" s="99" t="n">
        <x:f>V350-S350</x:f>
        <x:v>0</x:v>
      </x:c>
      <x:c r="X350" s="114" t="n">
        <x:f>IFERROR(W350/V350,0)</x:f>
        <x:v>0</x:v>
      </x:c>
      <x:c r="Y350" s="38" t="str">
        <x:v>Por unidad</x:v>
      </x:c>
      <x:c r="Z350" s="38" t="str">
        <x:f>IF(Y350="Botella / 3 instalaciones","Precio botella / 3",IF(Y350="Por rollo o metros proporcionales","Si se pasa rollo: rollo completo. Si se pasan metros: proporcional",Y350))</x:f>
        <x:v>Por unidad</x:v>
      </x:c>
      <x:c r="AA350" s="38" t="n">
        <x:v>1</x:v>
      </x:c>
      <x:c r="AB350" s="38" t="str"/>
      <x:c r="AC350" s="38" t="str"/>
      <x:c r="AD350" s="116" t="str">
        <x:v>2026-06-30</x:v>
      </x:c>
      <x:c r="AE350" s="38" t="str">
        <x:v>Sí</x:v>
      </x:c>
      <x:c r="AF350" s="38" t="str">
        <x:v>Revisar categoría antes de usar en cálculo automático.</x:v>
      </x:c>
    </x:row>
    <x:row r="351">
      <x:c r="A351" s="38" t="str">
        <x:v>MAT-0350</x:v>
      </x:c>
      <x:c r="B351" s="38" t="str">
        <x:v>Sí</x:v>
      </x:c>
      <x:c r="C351" s="38" t="str">
        <x:v>Sin clasificar</x:v>
      </x:c>
      <x:c r="D351" s="38" t="str"/>
      <x:c r="E351" s="38" t="str">
        <x:v>Chasis Rect. 3 Elem.Tecno Nu</x:v>
      </x:c>
      <x:c r="F351" s="38" t="str">
        <x:v>CHASIS RECT. 3 ELEM.TECNO NU</x:v>
      </x:c>
      <x:c r="G351" s="38" t="str">
        <x:v>SCH-NU7103P / 6710310</x:v>
      </x:c>
      <x:c r="H351" s="38" t="str">
        <x:v>Comercial Eléctrica Canarias, S.A.</x:v>
      </x:c>
      <x:c r="I351" s="38" t="str">
        <x:v>Factura 91782626</x:v>
      </x:c>
      <x:c r="J351" s="115" t="str">
        <x:v>30/04/2026</x:v>
      </x:c>
      <x:c r="K351" s="38" t="str">
        <x:v>Albarán 132.114/013 (22/04/2026)</x:v>
      </x:c>
      <x:c r="L351" s="38" t="n">
        <x:v>2</x:v>
      </x:c>
      <x:c r="M351" s="38" t="str">
        <x:v>Unidad</x:v>
      </x:c>
      <x:c r="N351" s="38" t="n">
        <x:v>1</x:v>
      </x:c>
      <x:c r="O351" s="38" t="str">
        <x:v>Unidad</x:v>
      </x:c>
      <x:c r="P351" s="99" t="n">
        <x:v>0.725</x:v>
      </x:c>
      <x:c r="Q351" s="114" t="n">
        <x:v>0</x:v>
      </x:c>
      <x:c r="R351" s="99" t="n">
        <x:v>1.45</x:v>
      </x:c>
      <x:c r="S351" s="99" t="n">
        <x:f>IFERROR(R351/L351,P351*(1-Q351))</x:f>
        <x:v>0.725</x:v>
      </x:c>
      <x:c r="T351" s="114" t="n">
        <x:v>0.07</x:v>
      </x:c>
      <x:c r="U351" s="99" t="n">
        <x:f>S351*(1+T351)</x:f>
        <x:v>0.77575</x:v>
      </x:c>
      <x:c r="V351" s="99" t="n">
        <x:f>S351</x:f>
        <x:v>0.725</x:v>
      </x:c>
      <x:c r="W351" s="99" t="n">
        <x:f>V351-S351</x:f>
        <x:v>0</x:v>
      </x:c>
      <x:c r="X351" s="114" t="n">
        <x:f>IFERROR(W351/V351,0)</x:f>
        <x:v>0</x:v>
      </x:c>
      <x:c r="Y351" s="38" t="str">
        <x:v>Por unidad</x:v>
      </x:c>
      <x:c r="Z351" s="38" t="str">
        <x:f>IF(Y351="Botella / 3 instalaciones","Precio botella / 3",IF(Y351="Por rollo o metros proporcionales","Si se pasa rollo: rollo completo. Si se pasan metros: proporcional",Y351))</x:f>
        <x:v>Por unidad</x:v>
      </x:c>
      <x:c r="AA351" s="38" t="n">
        <x:v>1</x:v>
      </x:c>
      <x:c r="AB351" s="38" t="str"/>
      <x:c r="AC351" s="38" t="str"/>
      <x:c r="AD351" s="116" t="str">
        <x:v>2026-06-30</x:v>
      </x:c>
      <x:c r="AE351" s="38" t="str">
        <x:v>Sí</x:v>
      </x:c>
      <x:c r="AF351" s="38" t="str">
        <x:v>Revisar categoría antes de usar en cálculo automático.</x:v>
      </x:c>
    </x:row>
    <x:row r="352">
      <x:c r="A352" s="38" t="str">
        <x:v>MAT-0351</x:v>
      </x:c>
      <x:c r="B352" s="38" t="str">
        <x:v>Sí</x:v>
      </x:c>
      <x:c r="C352" s="38" t="str">
        <x:v>Sin clasificar</x:v>
      </x:c>
      <x:c r="D352" s="38" t="str"/>
      <x:c r="E352" s="38" t="str">
        <x:v>Base Schuko 16A Blanco Nu</x:v>
      </x:c>
      <x:c r="F352" s="38" t="str">
        <x:v>BASE SCHUKO 16A BLANCO NU</x:v>
      </x:c>
      <x:c r="G352" s="38" t="str">
        <x:v>SCH-NU303718 / 6303718</x:v>
      </x:c>
      <x:c r="H352" s="38" t="str">
        <x:v>Comercial Eléctrica Canarias, S.A.</x:v>
      </x:c>
      <x:c r="I352" s="38" t="str">
        <x:v>Factura 91782626</x:v>
      </x:c>
      <x:c r="J352" s="115" t="str">
        <x:v>30/04/2026</x:v>
      </x:c>
      <x:c r="K352" s="38" t="str">
        <x:v>Albarán 132.114/013 (22/04/2026)</x:v>
      </x:c>
      <x:c r="L352" s="38" t="n">
        <x:v>2</x:v>
      </x:c>
      <x:c r="M352" s="38" t="str">
        <x:v>Unidad</x:v>
      </x:c>
      <x:c r="N352" s="38" t="n">
        <x:v>1</x:v>
      </x:c>
      <x:c r="O352" s="38" t="str">
        <x:v>Unidad</x:v>
      </x:c>
      <x:c r="P352" s="99" t="n">
        <x:v>2.888</x:v>
      </x:c>
      <x:c r="Q352" s="114" t="n">
        <x:v>0</x:v>
      </x:c>
      <x:c r="R352" s="99" t="n">
        <x:v>5.78</x:v>
      </x:c>
      <x:c r="S352" s="99" t="n">
        <x:f>IFERROR(R352/L352,P352*(1-Q352))</x:f>
        <x:v>2.89</x:v>
      </x:c>
      <x:c r="T352" s="114" t="n">
        <x:v>0.07</x:v>
      </x:c>
      <x:c r="U352" s="99" t="n">
        <x:f>S352*(1+T352)</x:f>
        <x:v>3.0923000000000003</x:v>
      </x:c>
      <x:c r="V352" s="99" t="n">
        <x:f>S352</x:f>
        <x:v>2.89</x:v>
      </x:c>
      <x:c r="W352" s="99" t="n">
        <x:f>V352-S352</x:f>
        <x:v>0</x:v>
      </x:c>
      <x:c r="X352" s="114" t="n">
        <x:f>IFERROR(W352/V352,0)</x:f>
        <x:v>0</x:v>
      </x:c>
      <x:c r="Y352" s="38" t="str">
        <x:v>Por unidad</x:v>
      </x:c>
      <x:c r="Z352" s="38" t="str">
        <x:f>IF(Y352="Botella / 3 instalaciones","Precio botella / 3",IF(Y352="Por rollo o metros proporcionales","Si se pasa rollo: rollo completo. Si se pasan metros: proporcional",Y352))</x:f>
        <x:v>Por unidad</x:v>
      </x:c>
      <x:c r="AA352" s="38" t="n">
        <x:v>1</x:v>
      </x:c>
      <x:c r="AB352" s="38" t="str"/>
      <x:c r="AC352" s="38" t="str"/>
      <x:c r="AD352" s="116" t="str">
        <x:v>2026-06-30</x:v>
      </x:c>
      <x:c r="AE352" s="38" t="str">
        <x:v>Sí</x:v>
      </x:c>
      <x:c r="AF352" s="38" t="str">
        <x:v>Revisar categoría antes de usar en cálculo automático.</x:v>
      </x:c>
    </x:row>
    <x:row r="353">
      <x:c r="A353" s="38" t="str">
        <x:v>MAT-0352</x:v>
      </x:c>
      <x:c r="B353" s="38" t="str">
        <x:v>Sí</x:v>
      </x:c>
      <x:c r="C353" s="38" t="str">
        <x:v>Sin clasificar</x:v>
      </x:c>
      <x:c r="D353" s="38" t="str"/>
      <x:c r="E353" s="38" t="str">
        <x:v>Placa Estanca 3M Ip55 Blanco</x:v>
      </x:c>
      <x:c r="F353" s="38" t="str">
        <x:v>PLACA ESTANCA 3M IP55 BLANCO</x:v>
      </x:c>
      <x:c r="G353" s="38" t="str">
        <x:v>GEW-GW16703TBN / 91670350</x:v>
      </x:c>
      <x:c r="H353" s="38" t="str">
        <x:v>Comercial Eléctrica Canarias, S.A.</x:v>
      </x:c>
      <x:c r="I353" s="38" t="str">
        <x:v>Factura 91782626</x:v>
      </x:c>
      <x:c r="J353" s="115" t="str">
        <x:v>30/04/2026</x:v>
      </x:c>
      <x:c r="K353" s="38" t="str">
        <x:v>Albarán 132.114/013 (22/04/2026)</x:v>
      </x:c>
      <x:c r="L353" s="38" t="n">
        <x:v>7</x:v>
      </x:c>
      <x:c r="M353" s="38" t="str">
        <x:v>Unidad</x:v>
      </x:c>
      <x:c r="N353" s="38" t="n">
        <x:v>1</x:v>
      </x:c>
      <x:c r="O353" s="38" t="str">
        <x:v>Unidad</x:v>
      </x:c>
      <x:c r="P353" s="99" t="n">
        <x:v>8.132</x:v>
      </x:c>
      <x:c r="Q353" s="114" t="n">
        <x:v>0</x:v>
      </x:c>
      <x:c r="R353" s="99" t="n">
        <x:v>56.92</x:v>
      </x:c>
      <x:c r="S353" s="99" t="n">
        <x:f>IFERROR(R353/L353,P353*(1-Q353))</x:f>
        <x:v>8.131428571428572</x:v>
      </x:c>
      <x:c r="T353" s="114" t="n">
        <x:v>0.07</x:v>
      </x:c>
      <x:c r="U353" s="99" t="n">
        <x:f>S353*(1+T353)</x:f>
        <x:v>8.700628571428572</x:v>
      </x:c>
      <x:c r="V353" s="99" t="n">
        <x:f>S353</x:f>
        <x:v>8.131428571428572</x:v>
      </x:c>
      <x:c r="W353" s="99" t="n">
        <x:f>V353-S353</x:f>
        <x:v>0</x:v>
      </x:c>
      <x:c r="X353" s="114" t="n">
        <x:f>IFERROR(W353/V353,0)</x:f>
        <x:v>0</x:v>
      </x:c>
      <x:c r="Y353" s="38" t="str">
        <x:v>Por unidad</x:v>
      </x:c>
      <x:c r="Z353" s="38" t="str">
        <x:f>IF(Y353="Botella / 3 instalaciones","Precio botella / 3",IF(Y353="Por rollo o metros proporcionales","Si se pasa rollo: rollo completo. Si se pasan metros: proporcional",Y353))</x:f>
        <x:v>Por unidad</x:v>
      </x:c>
      <x:c r="AA353" s="38" t="n">
        <x:v>1</x:v>
      </x:c>
      <x:c r="AB353" s="38" t="str"/>
      <x:c r="AC353" s="38" t="str"/>
      <x:c r="AD353" s="116" t="str">
        <x:v>2026-06-30</x:v>
      </x:c>
      <x:c r="AE353" s="38" t="str">
        <x:v>Sí</x:v>
      </x:c>
      <x:c r="AF353" s="38" t="str">
        <x:v>Revisar categoría antes de usar en cálculo automático.</x:v>
      </x:c>
    </x:row>
    <x:row r="354">
      <x:c r="A354" s="38" t="str">
        <x:v>MAT-0353</x:v>
      </x:c>
      <x:c r="B354" s="38" t="str">
        <x:v>Sí</x:v>
      </x:c>
      <x:c r="C354" s="38" t="str">
        <x:v>Servicio</x:v>
      </x:c>
      <x:c r="D354" s="38" t="str">
        <x:v>Servicio/Desplazamiento</x:v>
      </x:c>
      <x:c r="E354" s="38" t="str">
        <x:v>Portero A1 1Viv.Convencional</x:v>
      </x:c>
      <x:c r="F354" s="38" t="str">
        <x:v>PORTERO A1 1Viv.CONVENCIONAL</x:v>
      </x:c>
      <x:c r="G354" s="38" t="str">
        <x:v>375011 / 80316</x:v>
      </x:c>
      <x:c r="H354" s="38" t="str">
        <x:v>Comercial Eléctrica Canarias, S.A.</x:v>
      </x:c>
      <x:c r="I354" s="38" t="str">
        <x:v>Factura 91782626</x:v>
      </x:c>
      <x:c r="J354" s="115" t="str">
        <x:v>30/04/2026</x:v>
      </x:c>
      <x:c r="K354" s="38" t="str">
        <x:v>Albarán 132.114/013 (22/04/2026)</x:v>
      </x:c>
      <x:c r="L354" s="38" t="n">
        <x:v>1</x:v>
      </x:c>
      <x:c r="M354" s="38" t="str">
        <x:v>Unidad</x:v>
      </x:c>
      <x:c r="N354" s="38" t="n">
        <x:v>1</x:v>
      </x:c>
      <x:c r="O354" s="38" t="str">
        <x:v>Unidad</x:v>
      </x:c>
      <x:c r="P354" s="99" t="n">
        <x:v>47</x:v>
      </x:c>
      <x:c r="Q354" s="114" t="n">
        <x:v>0</x:v>
      </x:c>
      <x:c r="R354" s="99" t="n">
        <x:v>47</x:v>
      </x:c>
      <x:c r="S354" s="99" t="n">
        <x:f>IFERROR(R354/L354,P354*(1-Q354))</x:f>
        <x:v>47</x:v>
      </x:c>
      <x:c r="T354" s="114" t="n">
        <x:v>0.07</x:v>
      </x:c>
      <x:c r="U354" s="99" t="n">
        <x:f>S354*(1+T354)</x:f>
        <x:v>50.290000000000006</x:v>
      </x:c>
      <x:c r="V354" s="99" t="n">
        <x:f>S354</x:f>
        <x:v>47</x:v>
      </x:c>
      <x:c r="W354" s="99" t="n">
        <x:f>V354-S354</x:f>
        <x:v>0</x:v>
      </x:c>
      <x:c r="X354" s="114" t="n">
        <x:f>IFERROR(W354/V354,0)</x:f>
        <x:v>0</x:v>
      </x:c>
      <x:c r="Y354" s="38" t="str">
        <x:v>Por unidad</x:v>
      </x:c>
      <x:c r="Z354" s="38" t="str">
        <x:f>IF(Y354="Botella / 3 instalaciones","Precio botella / 3",IF(Y354="Por rollo o metros proporcionales","Si se pasa rollo: rollo completo. Si se pasan metros: proporcional",Y354))</x:f>
        <x:v>Por unidad</x:v>
      </x:c>
      <x:c r="AA354" s="38" t="n">
        <x:v>1</x:v>
      </x:c>
      <x:c r="AB354" s="38" t="str"/>
      <x:c r="AC354" s="38" t="str"/>
      <x:c r="AD354" s="116" t="str">
        <x:v>2026-06-30</x:v>
      </x:c>
      <x:c r="AE354" s="38" t="str">
        <x:v>No</x:v>
      </x:c>
      <x:c r="AF354" s="38" t="str"/>
    </x:row>
    <x:row r="355">
      <x:c r="A355" s="38" t="str">
        <x:v>MAT-0354</x:v>
      </x:c>
      <x:c r="B355" s="38" t="str">
        <x:v>Sí</x:v>
      </x:c>
      <x:c r="C355" s="38" t="str">
        <x:v>Sin clasificar</x:v>
      </x:c>
      <x:c r="D355" s="38" t="str"/>
      <x:c r="E355" s="38" t="str">
        <x:v>Placa Geo 2H Blanco Tb</x:v>
      </x:c>
      <x:c r="F355" s="38" t="str">
        <x:v>PLACA GEO 2H BLANCO TB</x:v>
      </x:c>
      <x:c r="G355" s="38" t="str">
        <x:v>GEW-GW16402TB / 91640200</x:v>
      </x:c>
      <x:c r="H355" s="38" t="str">
        <x:v>Comercial Eléctrica Canarias, S.A.</x:v>
      </x:c>
      <x:c r="I355" s="38" t="str">
        <x:v>Factura 91782626</x:v>
      </x:c>
      <x:c r="J355" s="115" t="str">
        <x:v>30/04/2026</x:v>
      </x:c>
      <x:c r="K355" s="38" t="str">
        <x:v>Albarán 132.114/013 (22/04/2026)</x:v>
      </x:c>
      <x:c r="L355" s="38" t="n">
        <x:v>1</x:v>
      </x:c>
      <x:c r="M355" s="38" t="str">
        <x:v>Unidad</x:v>
      </x:c>
      <x:c r="N355" s="38" t="n">
        <x:v>1</x:v>
      </x:c>
      <x:c r="O355" s="38" t="str">
        <x:v>Unidad</x:v>
      </x:c>
      <x:c r="P355" s="99" t="n">
        <x:v>1.393</x:v>
      </x:c>
      <x:c r="Q355" s="114" t="n">
        <x:v>0</x:v>
      </x:c>
      <x:c r="R355" s="99" t="n">
        <x:v>1.39</x:v>
      </x:c>
      <x:c r="S355" s="99" t="n">
        <x:f>IFERROR(R355/L355,P355*(1-Q355))</x:f>
        <x:v>1.39</x:v>
      </x:c>
      <x:c r="T355" s="114" t="n">
        <x:v>0.07</x:v>
      </x:c>
      <x:c r="U355" s="99" t="n">
        <x:f>S355*(1+T355)</x:f>
        <x:v>1.4873</x:v>
      </x:c>
      <x:c r="V355" s="99" t="n">
        <x:f>S355</x:f>
        <x:v>1.39</x:v>
      </x:c>
      <x:c r="W355" s="99" t="n">
        <x:f>V355-S355</x:f>
        <x:v>0</x:v>
      </x:c>
      <x:c r="X355" s="114" t="n">
        <x:f>IFERROR(W355/V355,0)</x:f>
        <x:v>0</x:v>
      </x:c>
      <x:c r="Y355" s="38" t="str">
        <x:v>Por unidad</x:v>
      </x:c>
      <x:c r="Z355" s="38" t="str">
        <x:f>IF(Y355="Botella / 3 instalaciones","Precio botella / 3",IF(Y355="Por rollo o metros proporcionales","Si se pasa rollo: rollo completo. Si se pasan metros: proporcional",Y355))</x:f>
        <x:v>Por unidad</x:v>
      </x:c>
      <x:c r="AA355" s="38" t="n">
        <x:v>1</x:v>
      </x:c>
      <x:c r="AB355" s="38" t="str"/>
      <x:c r="AC355" s="38" t="str"/>
      <x:c r="AD355" s="116" t="str">
        <x:v>2026-06-30</x:v>
      </x:c>
      <x:c r="AE355" s="38" t="str">
        <x:v>Sí</x:v>
      </x:c>
      <x:c r="AF355" s="38" t="str">
        <x:v>Revisar categoría antes de usar en cálculo automático.</x:v>
      </x:c>
    </x:row>
    <x:row r="356">
      <x:c r="A356" s="38" t="str">
        <x:v>MAT-0355</x:v>
      </x:c>
      <x:c r="B356" s="38" t="str">
        <x:v>Sí</x:v>
      </x:c>
      <x:c r="C356" s="38" t="str">
        <x:v>Sin clasificar</x:v>
      </x:c>
      <x:c r="D356" s="38" t="str"/>
      <x:c r="E356" s="38" t="str">
        <x:v>Caja Superficie 2Mod.Blanca</x:v>
      </x:c>
      <x:c r="F356" s="38" t="str">
        <x:v>CAJA SUPERFICIE 2MOD.BLANCA</x:v>
      </x:c>
      <x:c r="G356" s="38" t="str">
        <x:v>GEW-GW16752 / 916752</x:v>
      </x:c>
      <x:c r="H356" s="38" t="str">
        <x:v>Comercial Eléctrica Canarias, S.A.</x:v>
      </x:c>
      <x:c r="I356" s="38" t="str">
        <x:v>Factura 91782626</x:v>
      </x:c>
      <x:c r="J356" s="115" t="str">
        <x:v>30/04/2026</x:v>
      </x:c>
      <x:c r="K356" s="38" t="str">
        <x:v>Albarán 132.114/013 (22/04/2026)</x:v>
      </x:c>
      <x:c r="L356" s="38" t="n">
        <x:v>1</x:v>
      </x:c>
      <x:c r="M356" s="38" t="str">
        <x:v>Unidad</x:v>
      </x:c>
      <x:c r="N356" s="38" t="n">
        <x:v>1</x:v>
      </x:c>
      <x:c r="O356" s="38" t="str">
        <x:v>Unidad</x:v>
      </x:c>
      <x:c r="P356" s="99" t="n">
        <x:v>3.6</x:v>
      </x:c>
      <x:c r="Q356" s="114" t="n">
        <x:v>0</x:v>
      </x:c>
      <x:c r="R356" s="99" t="n">
        <x:v>3.6</x:v>
      </x:c>
      <x:c r="S356" s="99" t="n">
        <x:f>IFERROR(R356/L356,P356*(1-Q356))</x:f>
        <x:v>3.6</x:v>
      </x:c>
      <x:c r="T356" s="114" t="n">
        <x:v>0.07</x:v>
      </x:c>
      <x:c r="U356" s="99" t="n">
        <x:f>S356*(1+T356)</x:f>
        <x:v>3.8520000000000003</x:v>
      </x:c>
      <x:c r="V356" s="99" t="n">
        <x:f>S356</x:f>
        <x:v>3.6</x:v>
      </x:c>
      <x:c r="W356" s="99" t="n">
        <x:f>V356-S356</x:f>
        <x:v>0</x:v>
      </x:c>
      <x:c r="X356" s="114" t="n">
        <x:f>IFERROR(W356/V356,0)</x:f>
        <x:v>0</x:v>
      </x:c>
      <x:c r="Y356" s="38" t="str">
        <x:v>Por unidad</x:v>
      </x:c>
      <x:c r="Z356" s="38" t="str">
        <x:f>IF(Y356="Botella / 3 instalaciones","Precio botella / 3",IF(Y356="Por rollo o metros proporcionales","Si se pasa rollo: rollo completo. Si se pasan metros: proporcional",Y356))</x:f>
        <x:v>Por unidad</x:v>
      </x:c>
      <x:c r="AA356" s="38" t="n">
        <x:v>1</x:v>
      </x:c>
      <x:c r="AB356" s="38" t="str"/>
      <x:c r="AC356" s="38" t="str"/>
      <x:c r="AD356" s="116" t="str">
        <x:v>2026-06-30</x:v>
      </x:c>
      <x:c r="AE356" s="38" t="str">
        <x:v>Sí</x:v>
      </x:c>
      <x:c r="AF356" s="38" t="str">
        <x:v>Revisar categoría antes de usar en cálculo automático.</x:v>
      </x:c>
    </x:row>
    <x:row r="357">
      <x:c r="A357" s="38" t="str">
        <x:v>MAT-0356</x:v>
      </x:c>
      <x:c r="B357" s="38" t="str">
        <x:v>Sí</x:v>
      </x:c>
      <x:c r="C357" s="38" t="str">
        <x:v>Sin clasificar</x:v>
      </x:c>
      <x:c r="D357" s="38" t="str"/>
      <x:c r="E357" s="38" t="str">
        <x:v>Lamp Ld 14-100W E27 27K 1521Lm</x:v>
      </x:c>
      <x:c r="F357" s="38" t="str">
        <x:v>LAMP LD 14-100W E27 27K 1521LM</x:v>
      </x:c>
      <x:c r="G357" s="38" t="str">
        <x:v>PHI-16153500 / 59253500</x:v>
      </x:c>
      <x:c r="H357" s="38" t="str">
        <x:v>Comercial Eléctrica Canarias, S.A.</x:v>
      </x:c>
      <x:c r="I357" s="38" t="str">
        <x:v>Factura 91782626</x:v>
      </x:c>
      <x:c r="J357" s="115" t="str">
        <x:v>30/04/2026</x:v>
      </x:c>
      <x:c r="K357" s="38" t="str">
        <x:v>Albarán 162.038/016 (16/04/2026)</x:v>
      </x:c>
      <x:c r="L357" s="38" t="n">
        <x:v>1</x:v>
      </x:c>
      <x:c r="M357" s="38" t="str">
        <x:v>Unidad</x:v>
      </x:c>
      <x:c r="N357" s="38" t="n">
        <x:v>1</x:v>
      </x:c>
      <x:c r="O357" s="38" t="str">
        <x:v>Unidad</x:v>
      </x:c>
      <x:c r="P357" s="99" t="n">
        <x:v>3.35</x:v>
      </x:c>
      <x:c r="Q357" s="114" t="n">
        <x:v>0</x:v>
      </x:c>
      <x:c r="R357" s="99" t="n">
        <x:v>3.46</x:v>
      </x:c>
      <x:c r="S357" s="99" t="n">
        <x:f>IFERROR(R357/L357,P357*(1-Q357))</x:f>
        <x:v>3.46</x:v>
      </x:c>
      <x:c r="T357" s="114" t="n">
        <x:v>0.07</x:v>
      </x:c>
      <x:c r="U357" s="99" t="n">
        <x:f>S357*(1+T357)</x:f>
        <x:v>3.7022000000000004</x:v>
      </x:c>
      <x:c r="V357" s="99" t="n">
        <x:f>S357</x:f>
        <x:v>3.46</x:v>
      </x:c>
      <x:c r="W357" s="99" t="n">
        <x:f>V357-S357</x:f>
        <x:v>0</x:v>
      </x:c>
      <x:c r="X357" s="114" t="n">
        <x:f>IFERROR(W357/V357,0)</x:f>
        <x:v>0</x:v>
      </x:c>
      <x:c r="Y357" s="38" t="str">
        <x:v>Por unidad</x:v>
      </x:c>
      <x:c r="Z357" s="38" t="str">
        <x:f>IF(Y357="Botella / 3 instalaciones","Precio botella / 3",IF(Y357="Por rollo o metros proporcionales","Si se pasa rollo: rollo completo. Si se pasan metros: proporcional",Y357))</x:f>
        <x:v>Por unidad</x:v>
      </x:c>
      <x:c r="AA357" s="38" t="n">
        <x:v>1</x:v>
      </x:c>
      <x:c r="AB357" s="38" t="str"/>
      <x:c r="AC357" s="38" t="str"/>
      <x:c r="AD357" s="116" t="str">
        <x:v>2026-06-30</x:v>
      </x:c>
      <x:c r="AE357" s="38" t="str">
        <x:v>Sí</x:v>
      </x:c>
      <x:c r="AF357" s="38" t="str">
        <x:v>Revisar categoría antes de usar en cálculo automático.</x:v>
      </x:c>
    </x:row>
    <x:row r="358">
      <x:c r="A358" s="38" t="str">
        <x:v>MAT-0357</x:v>
      </x:c>
      <x:c r="B358" s="38" t="str">
        <x:v>Sí</x:v>
      </x:c>
      <x:c r="C358" s="38" t="str">
        <x:v>Sin clasificar</x:v>
      </x:c>
      <x:c r="D358" s="38" t="str"/>
      <x:c r="E358" s="38" t="str">
        <x:v>Lamp Led 14W-100W E27 6K 1521L</x:v>
      </x:c>
      <x:c r="F358" s="38" t="str">
        <x:v>LAMP LED 14W-100w E27 6K 1521L</x:v>
      </x:c>
      <x:c r="G358" s="38" t="str">
        <x:v>PHI-16250100 / 59250100</x:v>
      </x:c>
      <x:c r="H358" s="38" t="str">
        <x:v>Comercial Eléctrica Canarias, S.A.</x:v>
      </x:c>
      <x:c r="I358" s="38" t="str">
        <x:v>Factura 91782626</x:v>
      </x:c>
      <x:c r="J358" s="115" t="str">
        <x:v>30/04/2026</x:v>
      </x:c>
      <x:c r="K358" s="38" t="str">
        <x:v>Albarán 162.038/016 (16/04/2026)</x:v>
      </x:c>
      <x:c r="L358" s="38" t="n">
        <x:v>6</x:v>
      </x:c>
      <x:c r="M358" s="38" t="str">
        <x:v>Unidad</x:v>
      </x:c>
      <x:c r="N358" s="38" t="n">
        <x:v>1</x:v>
      </x:c>
      <x:c r="O358" s="38" t="str">
        <x:v>Unidad</x:v>
      </x:c>
      <x:c r="P358" s="99" t="n">
        <x:v>3.35</x:v>
      </x:c>
      <x:c r="Q358" s="114" t="n">
        <x:v>0</x:v>
      </x:c>
      <x:c r="R358" s="99" t="n">
        <x:v>20.76</x:v>
      </x:c>
      <x:c r="S358" s="99" t="n">
        <x:f>IFERROR(R358/L358,P358*(1-Q358))</x:f>
        <x:v>3.4600000000000004</x:v>
      </x:c>
      <x:c r="T358" s="114" t="n">
        <x:v>0.07</x:v>
      </x:c>
      <x:c r="U358" s="99" t="n">
        <x:f>S358*(1+T358)</x:f>
        <x:v>3.702200000000001</x:v>
      </x:c>
      <x:c r="V358" s="99" t="n">
        <x:f>S358</x:f>
        <x:v>3.4600000000000004</x:v>
      </x:c>
      <x:c r="W358" s="99" t="n">
        <x:f>V358-S358</x:f>
        <x:v>0</x:v>
      </x:c>
      <x:c r="X358" s="114" t="n">
        <x:f>IFERROR(W358/V358,0)</x:f>
        <x:v>0</x:v>
      </x:c>
      <x:c r="Y358" s="38" t="str">
        <x:v>Por unidad</x:v>
      </x:c>
      <x:c r="Z358" s="38" t="str">
        <x:f>IF(Y358="Botella / 3 instalaciones","Precio botella / 3",IF(Y358="Por rollo o metros proporcionales","Si se pasa rollo: rollo completo. Si se pasan metros: proporcional",Y358))</x:f>
        <x:v>Por unidad</x:v>
      </x:c>
      <x:c r="AA358" s="38" t="n">
        <x:v>1</x:v>
      </x:c>
      <x:c r="AB358" s="38" t="str"/>
      <x:c r="AC358" s="38" t="str"/>
      <x:c r="AD358" s="116" t="str">
        <x:v>2026-06-30</x:v>
      </x:c>
      <x:c r="AE358" s="38" t="str">
        <x:v>Sí</x:v>
      </x:c>
      <x:c r="AF358" s="38" t="str">
        <x:v>Revisar categoría antes de usar en cálculo automático.</x:v>
      </x:c>
    </x:row>
    <x:row r="359">
      <x:c r="A359" s="38" t="str">
        <x:v>MAT-0358</x:v>
      </x:c>
      <x:c r="B359" s="38" t="str">
        <x:v>Sí</x:v>
      </x:c>
      <x:c r="C359" s="38" t="str">
        <x:v>Pequeño material</x:v>
      </x:c>
      <x:c r="D359" s="38" t="str">
        <x:v>Consumible</x:v>
      </x:c>
      <x:c r="E359" s="38" t="str">
        <x:v>Cinta Aislante N10 33X25 Blanc</x:v>
      </x:c>
      <x:c r="F359" s="38" t="str">
        <x:v>CINTA AISLANTE N10 33x25 BLANC</x:v>
      </x:c>
      <x:c r="G359" s="38" t="str">
        <x:v>PLY-5538 / 3088</x:v>
      </x:c>
      <x:c r="H359" s="38" t="str">
        <x:v>Comercial Eléctrica Canarias, S.A.</x:v>
      </x:c>
      <x:c r="I359" s="38" t="str">
        <x:v>Factura 91782626</x:v>
      </x:c>
      <x:c r="J359" s="115" t="str">
        <x:v>30/04/2026</x:v>
      </x:c>
      <x:c r="K359" s="38" t="str">
        <x:v>Albarán 162.039/016 (16/04/2026)</x:v>
      </x:c>
      <x:c r="L359" s="38" t="n">
        <x:v>4</x:v>
      </x:c>
      <x:c r="M359" s="38" t="str">
        <x:v>Unidad</x:v>
      </x:c>
      <x:c r="N359" s="38" t="n">
        <x:v>1</x:v>
      </x:c>
      <x:c r="O359" s="38" t="str">
        <x:v>Unidad</x:v>
      </x:c>
      <x:c r="P359" s="99" t="n">
        <x:v>2.18</x:v>
      </x:c>
      <x:c r="Q359" s="114" t="n">
        <x:v>0</x:v>
      </x:c>
      <x:c r="R359" s="99" t="n">
        <x:v>8.72</x:v>
      </x:c>
      <x:c r="S359" s="99" t="n">
        <x:f>IFERROR(R359/L359,P359*(1-Q359))</x:f>
        <x:v>2.18</x:v>
      </x:c>
      <x:c r="T359" s="114" t="n">
        <x:v>0.03</x:v>
      </x:c>
      <x:c r="U359" s="99" t="n">
        <x:f>S359*(1+T359)</x:f>
        <x:v>2.2454</x:v>
      </x:c>
      <x:c r="V359" s="99" t="n">
        <x:f>S359</x:f>
        <x:v>2.18</x:v>
      </x:c>
      <x:c r="W359" s="99" t="n">
        <x:f>V359-S359</x:f>
        <x:v>0</x:v>
      </x:c>
      <x:c r="X359" s="114" t="n">
        <x:f>IFERROR(W359/V359,0)</x:f>
        <x:v>0</x:v>
      </x:c>
      <x:c r="Y359" s="38" t="str">
        <x:v>Por unidad</x:v>
      </x:c>
      <x:c r="Z359" s="38" t="str">
        <x:f>IF(Y359="Botella / 3 instalaciones","Precio botella / 3",IF(Y359="Por rollo o metros proporcionales","Si se pasa rollo: rollo completo. Si se pasan metros: proporcional",Y359))</x:f>
        <x:v>Por unidad</x:v>
      </x:c>
      <x:c r="AA359" s="38" t="n">
        <x:v>1</x:v>
      </x:c>
      <x:c r="AB359" s="38" t="str"/>
      <x:c r="AC359" s="38" t="str"/>
      <x:c r="AD359" s="116" t="str">
        <x:v>2026-06-30</x:v>
      </x:c>
      <x:c r="AE359" s="38" t="str">
        <x:v>No</x:v>
      </x:c>
      <x:c r="AF359" s="38" t="str"/>
    </x:row>
    <x:row r="360">
      <x:c r="A360" s="38" t="str">
        <x:v>MAT-0359</x:v>
      </x:c>
      <x:c r="B360" s="38" t="str">
        <x:v>Sí</x:v>
      </x:c>
      <x:c r="C360" s="38" t="str">
        <x:v>Sin clasificar</x:v>
      </x:c>
      <x:c r="D360" s="38" t="str"/>
      <x:c r="E360" s="38" t="str">
        <x:v>Placa Estanca 3M Ip55 Blanco</x:v>
      </x:c>
      <x:c r="F360" s="38" t="str">
        <x:v>PLACA ESTANCA 3M IP55 BLANCO</x:v>
      </x:c>
      <x:c r="G360" s="38" t="str">
        <x:v>GEW-GW16703TBN / 91670350</x:v>
      </x:c>
      <x:c r="H360" s="38" t="str">
        <x:v>Comercial Eléctrica Canarias, S.A.</x:v>
      </x:c>
      <x:c r="I360" s="38" t="str">
        <x:v>Factura 91782626</x:v>
      </x:c>
      <x:c r="J360" s="115" t="str">
        <x:v>30/04/2026</x:v>
      </x:c>
      <x:c r="K360" s="38" t="str">
        <x:v>Albarán 265.485/026 (22/04/2026)</x:v>
      </x:c>
      <x:c r="L360" s="38" t="n">
        <x:v>4</x:v>
      </x:c>
      <x:c r="M360" s="38" t="str">
        <x:v>Unidad</x:v>
      </x:c>
      <x:c r="N360" s="38" t="n">
        <x:v>1</x:v>
      </x:c>
      <x:c r="O360" s="38" t="str">
        <x:v>Unidad</x:v>
      </x:c>
      <x:c r="P360" s="99" t="n">
        <x:v>8.132</x:v>
      </x:c>
      <x:c r="Q360" s="114" t="n">
        <x:v>0</x:v>
      </x:c>
      <x:c r="R360" s="99" t="n">
        <x:v>32.53</x:v>
      </x:c>
      <x:c r="S360" s="99" t="n">
        <x:f>IFERROR(R360/L360,P360*(1-Q360))</x:f>
        <x:v>8.1325</x:v>
      </x:c>
      <x:c r="T360" s="114" t="n">
        <x:v>0.07</x:v>
      </x:c>
      <x:c r="U360" s="99" t="n">
        <x:f>S360*(1+T360)</x:f>
        <x:v>8.701775000000001</x:v>
      </x:c>
      <x:c r="V360" s="99" t="n">
        <x:f>S360</x:f>
        <x:v>8.1325</x:v>
      </x:c>
      <x:c r="W360" s="99" t="n">
        <x:f>V360-S360</x:f>
        <x:v>0</x:v>
      </x:c>
      <x:c r="X360" s="114" t="n">
        <x:f>IFERROR(W360/V360,0)</x:f>
        <x:v>0</x:v>
      </x:c>
      <x:c r="Y360" s="38" t="str">
        <x:v>Por unidad</x:v>
      </x:c>
      <x:c r="Z360" s="38" t="str">
        <x:f>IF(Y360="Botella / 3 instalaciones","Precio botella / 3",IF(Y360="Por rollo o metros proporcionales","Si se pasa rollo: rollo completo. Si se pasan metros: proporcional",Y360))</x:f>
        <x:v>Por unidad</x:v>
      </x:c>
      <x:c r="AA360" s="38" t="n">
        <x:v>1</x:v>
      </x:c>
      <x:c r="AB360" s="38" t="str"/>
      <x:c r="AC360" s="38" t="str"/>
      <x:c r="AD360" s="116" t="str">
        <x:v>2026-06-30</x:v>
      </x:c>
      <x:c r="AE360" s="38" t="str">
        <x:v>Sí</x:v>
      </x:c>
      <x:c r="AF360" s="38" t="str">
        <x:v>Revisar categoría antes de usar en cálculo automático.</x:v>
      </x:c>
    </x:row>
    <x:row r="361">
      <x:c r="A361" s="38" t="str">
        <x:v>MAT-0360</x:v>
      </x:c>
      <x:c r="B361" s="38" t="str">
        <x:v>Sí</x:v>
      </x:c>
      <x:c r="C361" s="38" t="str">
        <x:v>Sin clasificar</x:v>
      </x:c>
      <x:c r="D361" s="38" t="str"/>
      <x:c r="E361" s="38" t="str">
        <x:v>Conmutador Blanco 2M 16A</x:v>
      </x:c>
      <x:c r="F361" s="38" t="str">
        <x:v>CONMUTADOR BLANCO 2M 16A</x:v>
      </x:c>
      <x:c r="G361" s="38" t="str">
        <x:v>GEW-GW10071 / 910071</x:v>
      </x:c>
      <x:c r="H361" s="38" t="str">
        <x:v>Comercial Eléctrica Canarias, S.A.</x:v>
      </x:c>
      <x:c r="I361" s="38" t="str">
        <x:v>Factura 91782626</x:v>
      </x:c>
      <x:c r="J361" s="115" t="str">
        <x:v>30/04/2026</x:v>
      </x:c>
      <x:c r="K361" s="38" t="str">
        <x:v>Albarán 265.485/026 (22/04/2026)</x:v>
      </x:c>
      <x:c r="L361" s="38" t="n">
        <x:v>6</x:v>
      </x:c>
      <x:c r="M361" s="38" t="str">
        <x:v>Unidad</x:v>
      </x:c>
      <x:c r="N361" s="38" t="n">
        <x:v>1</x:v>
      </x:c>
      <x:c r="O361" s="38" t="str">
        <x:v>Unidad</x:v>
      </x:c>
      <x:c r="P361" s="99" t="n">
        <x:v>2.462</x:v>
      </x:c>
      <x:c r="Q361" s="114" t="n">
        <x:v>0</x:v>
      </x:c>
      <x:c r="R361" s="99" t="n">
        <x:v>14.77</x:v>
      </x:c>
      <x:c r="S361" s="99" t="n">
        <x:f>IFERROR(R361/L361,P361*(1-Q361))</x:f>
        <x:v>2.4616666666666664</x:v>
      </x:c>
      <x:c r="T361" s="114" t="n">
        <x:v>0.07</x:v>
      </x:c>
      <x:c r="U361" s="99" t="n">
        <x:f>S361*(1+T361)</x:f>
        <x:v>2.633983333333333</x:v>
      </x:c>
      <x:c r="V361" s="99" t="n">
        <x:f>S361</x:f>
        <x:v>2.4616666666666664</x:v>
      </x:c>
      <x:c r="W361" s="99" t="n">
        <x:f>V361-S361</x:f>
        <x:v>0</x:v>
      </x:c>
      <x:c r="X361" s="114" t="n">
        <x:f>IFERROR(W361/V361,0)</x:f>
        <x:v>0</x:v>
      </x:c>
      <x:c r="Y361" s="38" t="str">
        <x:v>Por unidad</x:v>
      </x:c>
      <x:c r="Z361" s="38" t="str">
        <x:f>IF(Y361="Botella / 3 instalaciones","Precio botella / 3",IF(Y361="Por rollo o metros proporcionales","Si se pasa rollo: rollo completo. Si se pasan metros: proporcional",Y361))</x:f>
        <x:v>Por unidad</x:v>
      </x:c>
      <x:c r="AA361" s="38" t="n">
        <x:v>1</x:v>
      </x:c>
      <x:c r="AB361" s="38" t="str"/>
      <x:c r="AC361" s="38" t="str"/>
      <x:c r="AD361" s="116" t="str">
        <x:v>2026-06-30</x:v>
      </x:c>
      <x:c r="AE361" s="38" t="str">
        <x:v>Sí</x:v>
      </x:c>
      <x:c r="AF361" s="38" t="str">
        <x:v>Revisar categoría antes de usar en cálculo automático.</x:v>
      </x:c>
    </x:row>
    <x:row r="362">
      <x:c r="A362" s="38" t="str">
        <x:v>MAT-0361</x:v>
      </x:c>
      <x:c r="B362" s="38" t="str">
        <x:v>Sí</x:v>
      </x:c>
      <x:c r="C362" s="38" t="str">
        <x:v>Pequeño material</x:v>
      </x:c>
      <x:c r="D362" s="38" t="str">
        <x:v>Consumible</x:v>
      </x:c>
      <x:c r="E362" s="38" t="str">
        <x:v>Taco Ciego Blanco 1M</x:v>
      </x:c>
      <x:c r="F362" s="38" t="str">
        <x:v>TACO CIEGO BLANCO 1M</x:v>
      </x:c>
      <x:c r="G362" s="38" t="str">
        <x:v>GEW-GW10195 / 910195</x:v>
      </x:c>
      <x:c r="H362" s="38" t="str">
        <x:v>Comercial Eléctrica Canarias, S.A.</x:v>
      </x:c>
      <x:c r="I362" s="38" t="str">
        <x:v>Factura 91782626</x:v>
      </x:c>
      <x:c r="J362" s="115" t="str">
        <x:v>30/04/2026</x:v>
      </x:c>
      <x:c r="K362" s="38" t="str">
        <x:v>Albarán 265.485/026 (22/04/2026)</x:v>
      </x:c>
      <x:c r="L362" s="38" t="n">
        <x:v>8</x:v>
      </x:c>
      <x:c r="M362" s="38" t="str">
        <x:v>Unidad</x:v>
      </x:c>
      <x:c r="N362" s="38" t="n">
        <x:v>1</x:v>
      </x:c>
      <x:c r="O362" s="38" t="str">
        <x:v>Unidad</x:v>
      </x:c>
      <x:c r="P362" s="99" t="n">
        <x:v>0.701</x:v>
      </x:c>
      <x:c r="Q362" s="114" t="n">
        <x:v>0</x:v>
      </x:c>
      <x:c r="R362" s="99" t="n">
        <x:v>5.61</x:v>
      </x:c>
      <x:c r="S362" s="99" t="n">
        <x:f>IFERROR(R362/L362,P362*(1-Q362))</x:f>
        <x:v>0.70125</x:v>
      </x:c>
      <x:c r="T362" s="114" t="n">
        <x:v>0.07</x:v>
      </x:c>
      <x:c r="U362" s="99" t="n">
        <x:f>S362*(1+T362)</x:f>
        <x:v>0.7503375000000001</x:v>
      </x:c>
      <x:c r="V362" s="99" t="n">
        <x:f>S362</x:f>
        <x:v>0.70125</x:v>
      </x:c>
      <x:c r="W362" s="99" t="n">
        <x:f>V362-S362</x:f>
        <x:v>0</x:v>
      </x:c>
      <x:c r="X362" s="114" t="n">
        <x:f>IFERROR(W362/V362,0)</x:f>
        <x:v>0</x:v>
      </x:c>
      <x:c r="Y362" s="38" t="str">
        <x:v>Por unidad</x:v>
      </x:c>
      <x:c r="Z362" s="38" t="str">
        <x:f>IF(Y362="Botella / 3 instalaciones","Precio botella / 3",IF(Y362="Por rollo o metros proporcionales","Si se pasa rollo: rollo completo. Si se pasan metros: proporcional",Y362))</x:f>
        <x:v>Por unidad</x:v>
      </x:c>
      <x:c r="AA362" s="38" t="n">
        <x:v>1</x:v>
      </x:c>
      <x:c r="AB362" s="38" t="str"/>
      <x:c r="AC362" s="38" t="str"/>
      <x:c r="AD362" s="116" t="str">
        <x:v>2026-06-30</x:v>
      </x:c>
      <x:c r="AE362" s="38" t="str">
        <x:v>No</x:v>
      </x:c>
      <x:c r="AF362" s="38" t="str"/>
    </x:row>
    <x:row r="363">
      <x:c r="A363" s="38" t="str">
        <x:v>MAT-0362</x:v>
      </x:c>
      <x:c r="B363" s="38" t="str">
        <x:v>Sí</x:v>
      </x:c>
      <x:c r="C363" s="38" t="str">
        <x:v>Sin clasificar</x:v>
      </x:c>
      <x:c r="D363" s="38" t="str"/>
      <x:c r="E363" s="38" t="str">
        <x:v>Pul.Timbre Blanco 1M 16A</x:v>
      </x:c>
      <x:c r="F363" s="38" t="str">
        <x:v>PUL.TIMBRE BLANCO 1M 16A</x:v>
      </x:c>
      <x:c r="G363" s="38" t="str">
        <x:v>GEW-GW10153 / 910153</x:v>
      </x:c>
      <x:c r="H363" s="38" t="str">
        <x:v>Comercial Eléctrica Canarias, S.A.</x:v>
      </x:c>
      <x:c r="I363" s="38" t="str">
        <x:v>Factura 91782626</x:v>
      </x:c>
      <x:c r="J363" s="115" t="str">
        <x:v>30/04/2026</x:v>
      </x:c>
      <x:c r="K363" s="38" t="str">
        <x:v>Albarán 265.485/026 (22/04/2026)</x:v>
      </x:c>
      <x:c r="L363" s="38" t="n">
        <x:v>1</x:v>
      </x:c>
      <x:c r="M363" s="38" t="str">
        <x:v>Unidad</x:v>
      </x:c>
      <x:c r="N363" s="38" t="n">
        <x:v>1</x:v>
      </x:c>
      <x:c r="O363" s="38" t="str">
        <x:v>Unidad</x:v>
      </x:c>
      <x:c r="P363" s="99" t="n">
        <x:v>3.249</x:v>
      </x:c>
      <x:c r="Q363" s="114" t="n">
        <x:v>0</x:v>
      </x:c>
      <x:c r="R363" s="99" t="n">
        <x:v>3.25</x:v>
      </x:c>
      <x:c r="S363" s="99" t="n">
        <x:f>IFERROR(R363/L363,P363*(1-Q363))</x:f>
        <x:v>3.25</x:v>
      </x:c>
      <x:c r="T363" s="114" t="n">
        <x:v>0.07</x:v>
      </x:c>
      <x:c r="U363" s="99" t="n">
        <x:f>S363*(1+T363)</x:f>
        <x:v>3.4775</x:v>
      </x:c>
      <x:c r="V363" s="99" t="n">
        <x:f>S363</x:f>
        <x:v>3.25</x:v>
      </x:c>
      <x:c r="W363" s="99" t="n">
        <x:f>V363-S363</x:f>
        <x:v>0</x:v>
      </x:c>
      <x:c r="X363" s="114" t="n">
        <x:f>IFERROR(W363/V363,0)</x:f>
        <x:v>0</x:v>
      </x:c>
      <x:c r="Y363" s="38" t="str">
        <x:v>Por unidad</x:v>
      </x:c>
      <x:c r="Z363" s="38" t="str">
        <x:f>IF(Y363="Botella / 3 instalaciones","Precio botella / 3",IF(Y363="Por rollo o metros proporcionales","Si se pasa rollo: rollo completo. Si se pasan metros: proporcional",Y363))</x:f>
        <x:v>Por unidad</x:v>
      </x:c>
      <x:c r="AA363" s="38" t="n">
        <x:v>1</x:v>
      </x:c>
      <x:c r="AB363" s="38" t="str"/>
      <x:c r="AC363" s="38" t="str"/>
      <x:c r="AD363" s="116" t="str">
        <x:v>2026-06-30</x:v>
      </x:c>
      <x:c r="AE363" s="38" t="str">
        <x:v>Sí</x:v>
      </x:c>
      <x:c r="AF363" s="38" t="str">
        <x:v>Revisar categoría antes de usar en cálculo automático.</x:v>
      </x:c>
    </x:row>
    <x:row r="364">
      <x:c r="A364" s="38" t="str">
        <x:v>MAT-0363</x:v>
      </x:c>
      <x:c r="B364" s="38" t="str">
        <x:v>Sí</x:v>
      </x:c>
      <x:c r="C364" s="38" t="str">
        <x:v>Sin clasificar</x:v>
      </x:c>
      <x:c r="D364" s="38" t="str"/>
      <x:c r="E364" s="38" t="str">
        <x:v>Caja Registro Pt- 5 160X130X70</x:v>
      </x:c>
      <x:c r="F364" s="38" t="str">
        <x:v>CAJA REGISTRO PT- 5 160X130X70</x:v>
      </x:c>
      <x:c r="G364" s="38" t="str">
        <x:v>GEW-GW48005 / 948005</x:v>
      </x:c>
      <x:c r="H364" s="38" t="str">
        <x:v>Comercial Eléctrica Canarias, S.A.</x:v>
      </x:c>
      <x:c r="I364" s="38" t="str">
        <x:v>Factura 91782626</x:v>
      </x:c>
      <x:c r="J364" s="115" t="str">
        <x:v>30/04/2026</x:v>
      </x:c>
      <x:c r="K364" s="38" t="str">
        <x:v>Albarán 265.486/026 (22/04/2026)</x:v>
      </x:c>
      <x:c r="L364" s="38" t="n">
        <x:v>1</x:v>
      </x:c>
      <x:c r="M364" s="38" t="str">
        <x:v>Unidad</x:v>
      </x:c>
      <x:c r="N364" s="38" t="n">
        <x:v>1</x:v>
      </x:c>
      <x:c r="O364" s="38" t="str">
        <x:v>Unidad</x:v>
      </x:c>
      <x:c r="P364" s="99" t="n">
        <x:v>2.67</x:v>
      </x:c>
      <x:c r="Q364" s="114" t="n">
        <x:v>0</x:v>
      </x:c>
      <x:c r="R364" s="99" t="n">
        <x:v>2.67</x:v>
      </x:c>
      <x:c r="S364" s="99" t="n">
        <x:f>IFERROR(R364/L364,P364*(1-Q364))</x:f>
        <x:v>2.67</x:v>
      </x:c>
      <x:c r="T364" s="114" t="n">
        <x:v>0.07</x:v>
      </x:c>
      <x:c r="U364" s="99" t="n">
        <x:f>S364*(1+T364)</x:f>
        <x:v>2.8569</x:v>
      </x:c>
      <x:c r="V364" s="99" t="n">
        <x:f>S364</x:f>
        <x:v>2.67</x:v>
      </x:c>
      <x:c r="W364" s="99" t="n">
        <x:f>V364-S364</x:f>
        <x:v>0</x:v>
      </x:c>
      <x:c r="X364" s="114" t="n">
        <x:f>IFERROR(W364/V364,0)</x:f>
        <x:v>0</x:v>
      </x:c>
      <x:c r="Y364" s="38" t="str">
        <x:v>Por unidad</x:v>
      </x:c>
      <x:c r="Z364" s="38" t="str">
        <x:f>IF(Y364="Botella / 3 instalaciones","Precio botella / 3",IF(Y364="Por rollo o metros proporcionales","Si se pasa rollo: rollo completo. Si se pasan metros: proporcional",Y364))</x:f>
        <x:v>Por unidad</x:v>
      </x:c>
      <x:c r="AA364" s="38" t="n">
        <x:v>1</x:v>
      </x:c>
      <x:c r="AB364" s="38" t="str"/>
      <x:c r="AC364" s="38" t="str"/>
      <x:c r="AD364" s="116" t="str">
        <x:v>2026-06-30</x:v>
      </x:c>
      <x:c r="AE364" s="38" t="str">
        <x:v>Sí</x:v>
      </x:c>
      <x:c r="AF364" s="38" t="str">
        <x:v>Revisar categoría antes de usar en cálculo automático.</x:v>
      </x:c>
    </x:row>
    <x:row r="365">
      <x:c r="A365" s="38" t="str">
        <x:v>MAT-0364</x:v>
      </x:c>
      <x:c r="B365" s="38" t="str">
        <x:v>Sí</x:v>
      </x:c>
      <x:c r="C365" s="38" t="str">
        <x:v>Electricidad</x:v>
      </x:c>
      <x:c r="D365" s="38" t="str">
        <x:v>Protección/cuadro</x:v>
      </x:c>
      <x:c r="E365" s="38" t="str">
        <x:v>Diferencial 2P 40A 30Ma A-Inmu</x:v>
      </x:c>
      <x:c r="F365" s="38" t="str">
        <x:v>DIFERENCIAL 2P 40A 30mA A-INMU</x:v>
      </x:c>
      <x:c r="G365" s="38" t="str">
        <x:v>06220450R0 / 202094</x:v>
      </x:c>
      <x:c r="H365" s="38" t="str">
        <x:v>Comercial Eléctrica Canarias, S.A.</x:v>
      </x:c>
      <x:c r="I365" s="38" t="str">
        <x:v>Factura 91782626</x:v>
      </x:c>
      <x:c r="J365" s="115" t="str">
        <x:v>30/04/2026</x:v>
      </x:c>
      <x:c r="K365" s="38" t="str">
        <x:v>Albarán 302.056/001 (24/04/2026)</x:v>
      </x:c>
      <x:c r="L365" s="38" t="n">
        <x:v>1</x:v>
      </x:c>
      <x:c r="M365" s="38" t="str">
        <x:v>Unidad</x:v>
      </x:c>
      <x:c r="N365" s="38" t="n">
        <x:v>1</x:v>
      </x:c>
      <x:c r="O365" s="38" t="str">
        <x:v>Unidad</x:v>
      </x:c>
      <x:c r="P365" s="99" t="n">
        <x:v>31.58</x:v>
      </x:c>
      <x:c r="Q365" s="114" t="n">
        <x:v>0</x:v>
      </x:c>
      <x:c r="R365" s="99" t="n">
        <x:v>31.58</x:v>
      </x:c>
      <x:c r="S365" s="99" t="n">
        <x:f>IFERROR(R365/L365,P365*(1-Q365))</x:f>
        <x:v>31.58</x:v>
      </x:c>
      <x:c r="T365" s="114" t="n">
        <x:v>0.07</x:v>
      </x:c>
      <x:c r="U365" s="99" t="n">
        <x:f>S365*(1+T365)</x:f>
        <x:v>33.7906</x:v>
      </x:c>
      <x:c r="V365" s="99" t="n">
        <x:f>S365</x:f>
        <x:v>31.58</x:v>
      </x:c>
      <x:c r="W365" s="99" t="n">
        <x:f>V365-S365</x:f>
        <x:v>0</x:v>
      </x:c>
      <x:c r="X365" s="114" t="n">
        <x:f>IFERROR(W365/V365,0)</x:f>
        <x:v>0</x:v>
      </x:c>
      <x:c r="Y365" s="38" t="str">
        <x:v>Por unidad</x:v>
      </x:c>
      <x:c r="Z365" s="38" t="str">
        <x:f>IF(Y365="Botella / 3 instalaciones","Precio botella / 3",IF(Y365="Por rollo o metros proporcionales","Si se pasa rollo: rollo completo. Si se pasan metros: proporcional",Y365))</x:f>
        <x:v>Por unidad</x:v>
      </x:c>
      <x:c r="AA365" s="38" t="n">
        <x:v>1</x:v>
      </x:c>
      <x:c r="AB365" s="38" t="str"/>
      <x:c r="AC365" s="38" t="str"/>
      <x:c r="AD365" s="116" t="str">
        <x:v>2026-06-30</x:v>
      </x:c>
      <x:c r="AE365" s="38" t="str">
        <x:v>No</x:v>
      </x:c>
      <x:c r="AF365" s="38" t="str"/>
    </x:row>
    <x:row r="366">
      <x:c r="A366" s="38" t="str">
        <x:v>MAT-0365</x:v>
      </x:c>
      <x:c r="B366" s="38" t="str">
        <x:v>Sí</x:v>
      </x:c>
      <x:c r="C366" s="38" t="str">
        <x:v>Sin clasificar</x:v>
      </x:c>
      <x:c r="D366" s="38" t="str"/>
      <x:c r="E366" s="38" t="str">
        <x:v>Tubo Reflex M25</x:v>
      </x:c>
      <x:c r="F366" s="38" t="str">
        <x:v>TUBO REFLEX M25</x:v>
      </x:c>
      <x:c r="G366" s="38" t="str">
        <x:v>CAN-80100025 / 366</x:v>
      </x:c>
      <x:c r="H366" s="38" t="str">
        <x:v>Comercial Eléctrica Canarias, S.A.</x:v>
      </x:c>
      <x:c r="I366" s="38" t="str">
        <x:v>Factura 91257026</x:v>
      </x:c>
      <x:c r="J366" s="115" t="str">
        <x:v>31/03/2026</x:v>
      </x:c>
      <x:c r="K366" s="38" t="str">
        <x:v>Albarán 131.668/013 (30/03/2026)</x:v>
      </x:c>
      <x:c r="L366" s="38" t="n">
        <x:v>-200</x:v>
      </x:c>
      <x:c r="M366" s="38" t="str">
        <x:v>m²</x:v>
      </x:c>
      <x:c r="N366" s="38" t="n">
        <x:v>1</x:v>
      </x:c>
      <x:c r="O366" s="38" t="str">
        <x:v>m²</x:v>
      </x:c>
      <x:c r="P366" s="99" t="n">
        <x:v>0.31</x:v>
      </x:c>
      <x:c r="Q366" s="114" t="n">
        <x:v>0</x:v>
      </x:c>
      <x:c r="R366" s="99" t="n">
        <x:v>-62</x:v>
      </x:c>
      <x:c r="S366" s="99" t="n">
        <x:f>IFERROR(R366/L366,P366*(1-Q366))</x:f>
        <x:v>0.31</x:v>
      </x:c>
      <x:c r="T366" s="114" t="n">
        <x:v>0.03</x:v>
      </x:c>
      <x:c r="U366" s="99" t="n">
        <x:f>S366*(1+T366)</x:f>
        <x:v>0.31930000000000003</x:v>
      </x:c>
      <x:c r="V366" s="99" t="n">
        <x:f>S366</x:f>
        <x:v>0.31</x:v>
      </x:c>
      <x:c r="W366" s="99" t="n">
        <x:f>V366-S366</x:f>
        <x:v>0</x:v>
      </x:c>
      <x:c r="X366" s="114" t="n">
        <x:f>IFERROR(W366/V366,0)</x:f>
        <x:v>0</x:v>
      </x:c>
      <x:c r="Y366" s="38" t="str">
        <x:v>Por unidad</x:v>
      </x:c>
      <x:c r="Z366" s="38" t="str">
        <x:f>IF(Y366="Botella / 3 instalaciones","Precio botella / 3",IF(Y366="Por rollo o metros proporcionales","Si se pasa rollo: rollo completo. Si se pasan metros: proporcional",Y366))</x:f>
        <x:v>Por unidad</x:v>
      </x:c>
      <x:c r="AA366" s="38" t="n">
        <x:v>1</x:v>
      </x:c>
      <x:c r="AB366" s="38" t="str"/>
      <x:c r="AC366" s="38" t="str"/>
      <x:c r="AD366" s="116" t="str">
        <x:v>2026-06-30</x:v>
      </x:c>
      <x:c r="AE366" s="38" t="str">
        <x:v>Sí</x:v>
      </x:c>
      <x:c r="AF366" s="38" t="str">
        <x:v>Revisar categoría antes de usar en cálculo automático.</x:v>
      </x:c>
    </x:row>
    <x:row r="367">
      <x:c r="A367" s="38" t="str">
        <x:v>MAT-0366</x:v>
      </x:c>
      <x:c r="B367" s="38" t="str">
        <x:v>Sí</x:v>
      </x:c>
      <x:c r="C367" s="38" t="str">
        <x:v>Electricidad</x:v>
      </x:c>
      <x:c r="D367" s="38" t="str">
        <x:v>Cable eléctrico</x:v>
      </x:c>
      <x:c r="E367" s="38" t="str">
        <x:v>Cable Rz1-K Cpr 0.6/1Kv 4G1.5</x:v>
      </x:c>
      <x:c r="F367" s="38" t="str">
        <x:v>CABLE RZ1-K CPR 0.6/1KV 4G1.5</x:v>
      </x:c>
      <x:c r="G367" s="38" t="str">
        <x:v>CABLE / 5551446</x:v>
      </x:c>
      <x:c r="H367" s="38" t="str">
        <x:v>Comercial Eléctrica Canarias, S.A.</x:v>
      </x:c>
      <x:c r="I367" s="38" t="str">
        <x:v>Factura 91311926</x:v>
      </x:c>
      <x:c r="J367" s="115" t="str">
        <x:v>31/03/2026</x:v>
      </x:c>
      <x:c r="K367" s="38" t="str">
        <x:v>Albarán 131.430/013 (17/03/2026)</x:v>
      </x:c>
      <x:c r="L367" s="38" t="n">
        <x:v>80</x:v>
      </x:c>
      <x:c r="M367" s="38" t="str">
        <x:v>Metro</x:v>
      </x:c>
      <x:c r="N367" s="38" t="n">
        <x:v>1</x:v>
      </x:c>
      <x:c r="O367" s="38" t="str">
        <x:v>Metro</x:v>
      </x:c>
      <x:c r="P367" s="99" t="n">
        <x:v>1.214</x:v>
      </x:c>
      <x:c r="Q367" s="114" t="n">
        <x:v>0</x:v>
      </x:c>
      <x:c r="R367" s="99" t="n">
        <x:v>97.12</x:v>
      </x:c>
      <x:c r="S367" s="99" t="n">
        <x:f>IFERROR(R367/L367,P367*(1-Q367))</x:f>
        <x:v>1.214</x:v>
      </x:c>
      <x:c r="T367" s="114" t="n">
        <x:v>0.07</x:v>
      </x:c>
      <x:c r="U367" s="99" t="n">
        <x:f>S367*(1+T367)</x:f>
        <x:v>1.29898</x:v>
      </x:c>
      <x:c r="V367" s="99" t="n">
        <x:f>S367</x:f>
        <x:v>1.214</x:v>
      </x:c>
      <x:c r="W367" s="99" t="n">
        <x:f>V367-S367</x:f>
        <x:v>0</x:v>
      </x:c>
      <x:c r="X367" s="114" t="n">
        <x:f>IFERROR(W367/V367,0)</x:f>
        <x:v>0</x:v>
      </x:c>
      <x:c r="Y367" s="38" t="str">
        <x:v>Por metros</x:v>
      </x:c>
      <x:c r="Z367" s="38" t="str">
        <x:f>IF(Y367="Botella / 3 instalaciones","Precio botella / 3",IF(Y367="Por rollo o metros proporcionales","Si se pasa rollo: rollo completo. Si se pasan metros: proporcional",Y367))</x:f>
        <x:v>Por metros</x:v>
      </x:c>
      <x:c r="AA367" s="38" t="n">
        <x:v>1</x:v>
      </x:c>
      <x:c r="AB367" s="38" t="str"/>
      <x:c r="AC367" s="38" t="str"/>
      <x:c r="AD367" s="116" t="str">
        <x:v>2026-06-30</x:v>
      </x:c>
      <x:c r="AE367" s="38" t="str">
        <x:v>No</x:v>
      </x:c>
      <x:c r="AF367" s="38" t="str"/>
    </x:row>
    <x:row r="368">
      <x:c r="A368" s="38" t="str">
        <x:v>MAT-0367</x:v>
      </x:c>
      <x:c r="B368" s="38" t="str">
        <x:v>Sí</x:v>
      </x:c>
      <x:c r="C368" s="38" t="str">
        <x:v>Sin clasificar</x:v>
      </x:c>
      <x:c r="D368" s="38" t="str"/>
      <x:c r="E368" s="38" t="str">
        <x:v>Caja Deriv. 150X110X70 Ip55</x:v>
      </x:c>
      <x:c r="F368" s="38" t="str">
        <x:v>CAJA DERIV. 150x110x70 IP55</x:v>
      </x:c>
      <x:c r="G368" s="38" t="str">
        <x:v>GEW-GW44026 / 944026</x:v>
      </x:c>
      <x:c r="H368" s="38" t="str">
        <x:v>Comercial Eléctrica Canarias, S.A.</x:v>
      </x:c>
      <x:c r="I368" s="38" t="str">
        <x:v>Factura 91311926</x:v>
      </x:c>
      <x:c r="J368" s="115" t="str">
        <x:v>31/03/2026</x:v>
      </x:c>
      <x:c r="K368" s="38" t="str">
        <x:v>Albarán 131.512/013 (20/03/2026)</x:v>
      </x:c>
      <x:c r="L368" s="38" t="n">
        <x:v>2</x:v>
      </x:c>
      <x:c r="M368" s="38" t="str">
        <x:v>Unidad</x:v>
      </x:c>
      <x:c r="N368" s="38" t="n">
        <x:v>1</x:v>
      </x:c>
      <x:c r="O368" s="38" t="str">
        <x:v>Unidad</x:v>
      </x:c>
      <x:c r="P368" s="99" t="n">
        <x:v>3.245</x:v>
      </x:c>
      <x:c r="Q368" s="114" t="n">
        <x:v>0</x:v>
      </x:c>
      <x:c r="R368" s="99" t="n">
        <x:v>6.49</x:v>
      </x:c>
      <x:c r="S368" s="99" t="n">
        <x:f>IFERROR(R368/L368,P368*(1-Q368))</x:f>
        <x:v>3.245</x:v>
      </x:c>
      <x:c r="T368" s="114" t="n">
        <x:v>0.07</x:v>
      </x:c>
      <x:c r="U368" s="99" t="n">
        <x:f>S368*(1+T368)</x:f>
        <x:v>3.4721500000000005</x:v>
      </x:c>
      <x:c r="V368" s="99" t="n">
        <x:f>S368</x:f>
        <x:v>3.245</x:v>
      </x:c>
      <x:c r="W368" s="99" t="n">
        <x:f>V368-S368</x:f>
        <x:v>0</x:v>
      </x:c>
      <x:c r="X368" s="114" t="n">
        <x:f>IFERROR(W368/V368,0)</x:f>
        <x:v>0</x:v>
      </x:c>
      <x:c r="Y368" s="38" t="str">
        <x:v>Por unidad</x:v>
      </x:c>
      <x:c r="Z368" s="38" t="str">
        <x:f>IF(Y368="Botella / 3 instalaciones","Precio botella / 3",IF(Y368="Por rollo o metros proporcionales","Si se pasa rollo: rollo completo. Si se pasan metros: proporcional",Y368))</x:f>
        <x:v>Por unidad</x:v>
      </x:c>
      <x:c r="AA368" s="38" t="n">
        <x:v>1</x:v>
      </x:c>
      <x:c r="AB368" s="38" t="str"/>
      <x:c r="AC368" s="38" t="str"/>
      <x:c r="AD368" s="116" t="str">
        <x:v>2026-06-30</x:v>
      </x:c>
      <x:c r="AE368" s="38" t="str">
        <x:v>Sí</x:v>
      </x:c>
      <x:c r="AF368" s="38" t="str">
        <x:v>Revisar categoría antes de usar en cálculo automático.</x:v>
      </x:c>
    </x:row>
    <x:row r="369">
      <x:c r="A369" s="38" t="str">
        <x:v>MAT-0368</x:v>
      </x:c>
      <x:c r="B369" s="38" t="str">
        <x:v>Sí</x:v>
      </x:c>
      <x:c r="C369" s="38" t="str">
        <x:v>Electricidad</x:v>
      </x:c>
      <x:c r="D369" s="38" t="str">
        <x:v>Protección/cuadro</x:v>
      </x:c>
      <x:c r="E369" s="38" t="str">
        <x:v>Automatico 1P+N 16A 6Ka C</x:v>
      </x:c>
      <x:c r="F369" s="38" t="str">
        <x:v>AUTOMATICO 1P+N 16A 6kA C</x:v>
      </x:c>
      <x:c r="G369" s="38" t="str">
        <x:v>06122612R0 / 202026</x:v>
      </x:c>
      <x:c r="H369" s="38" t="str">
        <x:v>Comercial Eléctrica Canarias, S.A.</x:v>
      </x:c>
      <x:c r="I369" s="38" t="str">
        <x:v>Factura 91311926</x:v>
      </x:c>
      <x:c r="J369" s="115" t="str">
        <x:v>31/03/2026</x:v>
      </x:c>
      <x:c r="K369" s="38" t="str">
        <x:v>Albarán 131.531/013 (23/03/2026)</x:v>
      </x:c>
      <x:c r="L369" s="38" t="n">
        <x:v>4</x:v>
      </x:c>
      <x:c r="M369" s="38" t="str">
        <x:v>Unidad</x:v>
      </x:c>
      <x:c r="N369" s="38" t="n">
        <x:v>1</x:v>
      </x:c>
      <x:c r="O369" s="38" t="str">
        <x:v>Unidad</x:v>
      </x:c>
      <x:c r="P369" s="99" t="n">
        <x:v>2.76</x:v>
      </x:c>
      <x:c r="Q369" s="114" t="n">
        <x:v>0</x:v>
      </x:c>
      <x:c r="R369" s="99" t="n">
        <x:v>11.04</x:v>
      </x:c>
      <x:c r="S369" s="99" t="n">
        <x:f>IFERROR(R369/L369,P369*(1-Q369))</x:f>
        <x:v>2.76</x:v>
      </x:c>
      <x:c r="T369" s="114" t="n">
        <x:v>0.07</x:v>
      </x:c>
      <x:c r="U369" s="99" t="n">
        <x:f>S369*(1+T369)</x:f>
        <x:v>2.9532</x:v>
      </x:c>
      <x:c r="V369" s="99" t="n">
        <x:f>S369</x:f>
        <x:v>2.76</x:v>
      </x:c>
      <x:c r="W369" s="99" t="n">
        <x:f>V369-S369</x:f>
        <x:v>0</x:v>
      </x:c>
      <x:c r="X369" s="114" t="n">
        <x:f>IFERROR(W369/V369,0)</x:f>
        <x:v>0</x:v>
      </x:c>
      <x:c r="Y369" s="38" t="str">
        <x:v>Por unidad</x:v>
      </x:c>
      <x:c r="Z369" s="38" t="str">
        <x:f>IF(Y369="Botella / 3 instalaciones","Precio botella / 3",IF(Y369="Por rollo o metros proporcionales","Si se pasa rollo: rollo completo. Si se pasan metros: proporcional",Y369))</x:f>
        <x:v>Por unidad</x:v>
      </x:c>
      <x:c r="AA369" s="38" t="n">
        <x:v>1</x:v>
      </x:c>
      <x:c r="AB369" s="38" t="str"/>
      <x:c r="AC369" s="38" t="str"/>
      <x:c r="AD369" s="116" t="str">
        <x:v>2026-06-30</x:v>
      </x:c>
      <x:c r="AE369" s="38" t="str">
        <x:v>No</x:v>
      </x:c>
      <x:c r="AF369" s="38" t="str"/>
    </x:row>
    <x:row r="370">
      <x:c r="A370" s="38" t="str">
        <x:v>MAT-0369</x:v>
      </x:c>
      <x:c r="B370" s="38" t="str">
        <x:v>Sí</x:v>
      </x:c>
      <x:c r="C370" s="38" t="str">
        <x:v>Electricidad</x:v>
      </x:c>
      <x:c r="D370" s="38" t="str">
        <x:v>Protección/cuadro</x:v>
      </x:c>
      <x:c r="E370" s="38" t="str">
        <x:v>Automatico 1P+N 25A 6Ka C</x:v>
      </x:c>
      <x:c r="F370" s="38" t="str">
        <x:v>AUTOMATICO 1P+N 25A 6kA C</x:v>
      </x:c>
      <x:c r="G370" s="38" t="str">
        <x:v>06122614R0 / 202028</x:v>
      </x:c>
      <x:c r="H370" s="38" t="str">
        <x:v>Comercial Eléctrica Canarias, S.A.</x:v>
      </x:c>
      <x:c r="I370" s="38" t="str">
        <x:v>Factura 91311926</x:v>
      </x:c>
      <x:c r="J370" s="115" t="str">
        <x:v>31/03/2026</x:v>
      </x:c>
      <x:c r="K370" s="38" t="str">
        <x:v>Albarán 131.531/013 (23/03/2026)</x:v>
      </x:c>
      <x:c r="L370" s="38" t="n">
        <x:v>1</x:v>
      </x:c>
      <x:c r="M370" s="38" t="str">
        <x:v>Unidad</x:v>
      </x:c>
      <x:c r="N370" s="38" t="n">
        <x:v>1</x:v>
      </x:c>
      <x:c r="O370" s="38" t="str">
        <x:v>Unidad</x:v>
      </x:c>
      <x:c r="P370" s="99" t="n">
        <x:v>2.76</x:v>
      </x:c>
      <x:c r="Q370" s="114" t="n">
        <x:v>0</x:v>
      </x:c>
      <x:c r="R370" s="99" t="n">
        <x:v>2.76</x:v>
      </x:c>
      <x:c r="S370" s="99" t="n">
        <x:f>IFERROR(R370/L370,P370*(1-Q370))</x:f>
        <x:v>2.76</x:v>
      </x:c>
      <x:c r="T370" s="114" t="n">
        <x:v>0.07</x:v>
      </x:c>
      <x:c r="U370" s="99" t="n">
        <x:f>S370*(1+T370)</x:f>
        <x:v>2.9532</x:v>
      </x:c>
      <x:c r="V370" s="99" t="n">
        <x:f>S370</x:f>
        <x:v>2.76</x:v>
      </x:c>
      <x:c r="W370" s="99" t="n">
        <x:f>V370-S370</x:f>
        <x:v>0</x:v>
      </x:c>
      <x:c r="X370" s="114" t="n">
        <x:f>IFERROR(W370/V370,0)</x:f>
        <x:v>0</x:v>
      </x:c>
      <x:c r="Y370" s="38" t="str">
        <x:v>Por unidad</x:v>
      </x:c>
      <x:c r="Z370" s="38" t="str">
        <x:f>IF(Y370="Botella / 3 instalaciones","Precio botella / 3",IF(Y370="Por rollo o metros proporcionales","Si se pasa rollo: rollo completo. Si se pasan metros: proporcional",Y370))</x:f>
        <x:v>Por unidad</x:v>
      </x:c>
      <x:c r="AA370" s="38" t="n">
        <x:v>1</x:v>
      </x:c>
      <x:c r="AB370" s="38" t="str"/>
      <x:c r="AC370" s="38" t="str"/>
      <x:c r="AD370" s="116" t="str">
        <x:v>2026-06-30</x:v>
      </x:c>
      <x:c r="AE370" s="38" t="str">
        <x:v>No</x:v>
      </x:c>
      <x:c r="AF370" s="38" t="str"/>
    </x:row>
    <x:row r="371">
      <x:c r="A371" s="38" t="str">
        <x:v>MAT-0370</x:v>
      </x:c>
      <x:c r="B371" s="38" t="str">
        <x:v>Sí</x:v>
      </x:c>
      <x:c r="C371" s="38" t="str">
        <x:v>Sin clasificar</x:v>
      </x:c>
      <x:c r="D371" s="38" t="str"/>
      <x:c r="E371" s="38" t="str">
        <x:v>Caja S/P Ip40 12M 1X12 P.Tte._</x:v>
      </x:c>
      <x:c r="F371" s="38" t="str">
        <x:v>CAJA S/P IP40 12M 1X12 P.TTE._</x:v>
      </x:c>
      <x:c r="G371" s="38" t="str">
        <x:v>GEW-GW40045 / 940045</x:v>
      </x:c>
      <x:c r="H371" s="38" t="str">
        <x:v>Comercial Eléctrica Canarias, S.A.</x:v>
      </x:c>
      <x:c r="I371" s="38" t="str">
        <x:v>Factura 91311926</x:v>
      </x:c>
      <x:c r="J371" s="115" t="str">
        <x:v>31/03/2026</x:v>
      </x:c>
      <x:c r="K371" s="38" t="str">
        <x:v>Albarán 131.531/013 (23/03/2026)</x:v>
      </x:c>
      <x:c r="L371" s="38" t="n">
        <x:v>1</x:v>
      </x:c>
      <x:c r="M371" s="38" t="str">
        <x:v>Unidad</x:v>
      </x:c>
      <x:c r="N371" s="38" t="n">
        <x:v>1</x:v>
      </x:c>
      <x:c r="O371" s="38" t="str">
        <x:v>Unidad</x:v>
      </x:c>
      <x:c r="P371" s="99" t="n">
        <x:v>18.389</x:v>
      </x:c>
      <x:c r="Q371" s="114" t="n">
        <x:v>0</x:v>
      </x:c>
      <x:c r="R371" s="99" t="n">
        <x:v>18.39</x:v>
      </x:c>
      <x:c r="S371" s="99" t="n">
        <x:f>IFERROR(R371/L371,P371*(1-Q371))</x:f>
        <x:v>18.39</x:v>
      </x:c>
      <x:c r="T371" s="114" t="n">
        <x:v>0.07</x:v>
      </x:c>
      <x:c r="U371" s="99" t="n">
        <x:f>S371*(1+T371)</x:f>
        <x:v>19.677300000000002</x:v>
      </x:c>
      <x:c r="V371" s="99" t="n">
        <x:f>S371</x:f>
        <x:v>18.39</x:v>
      </x:c>
      <x:c r="W371" s="99" t="n">
        <x:f>V371-S371</x:f>
        <x:v>0</x:v>
      </x:c>
      <x:c r="X371" s="114" t="n">
        <x:f>IFERROR(W371/V371,0)</x:f>
        <x:v>0</x:v>
      </x:c>
      <x:c r="Y371" s="38" t="str">
        <x:v>Por unidad</x:v>
      </x:c>
      <x:c r="Z371" s="38" t="str">
        <x:f>IF(Y371="Botella / 3 instalaciones","Precio botella / 3",IF(Y371="Por rollo o metros proporcionales","Si se pasa rollo: rollo completo. Si se pasan metros: proporcional",Y371))</x:f>
        <x:v>Por unidad</x:v>
      </x:c>
      <x:c r="AA371" s="38" t="n">
        <x:v>1</x:v>
      </x:c>
      <x:c r="AB371" s="38" t="str"/>
      <x:c r="AC371" s="38" t="str"/>
      <x:c r="AD371" s="116" t="str">
        <x:v>2026-06-30</x:v>
      </x:c>
      <x:c r="AE371" s="38" t="str">
        <x:v>Sí</x:v>
      </x:c>
      <x:c r="AF371" s="38" t="str">
        <x:v>Revisar categoría antes de usar en cálculo automático.</x:v>
      </x:c>
    </x:row>
    <x:row r="372">
      <x:c r="A372" s="38" t="str">
        <x:v>MAT-0371</x:v>
      </x:c>
      <x:c r="B372" s="38" t="str">
        <x:v>Sí</x:v>
      </x:c>
      <x:c r="C372" s="38" t="str">
        <x:v>Desagüe</x:v>
      </x:c>
      <x:c r="D372" s="38" t="str">
        <x:v>Tubo/accesorios desagüe</x:v>
      </x:c>
      <x:c r="E372" s="38" t="str">
        <x:v>Tubo Pvc Flex.Exter.Pg29</x:v>
      </x:c>
      <x:c r="F372" s="38" t="str">
        <x:v>TUBO PVC FLEX.EXTER.PG29</x:v>
      </x:c>
      <x:c r="G372" s="38" t="str">
        <x:v>PEM-10011029 / 1268</x:v>
      </x:c>
      <x:c r="H372" s="38" t="str">
        <x:v>Comercial Eléctrica Canarias, S.A.</x:v>
      </x:c>
      <x:c r="I372" s="38" t="str">
        <x:v>Factura 91311926</x:v>
      </x:c>
      <x:c r="J372" s="115" t="str">
        <x:v>31/03/2026</x:v>
      </x:c>
      <x:c r="K372" s="38" t="str">
        <x:v>Albarán 131.531/013 (23/03/2026)</x:v>
      </x:c>
      <x:c r="L372" s="38" t="n">
        <x:v>25</x:v>
      </x:c>
      <x:c r="M372" s="38" t="str">
        <x:v>Unidad</x:v>
      </x:c>
      <x:c r="N372" s="38" t="n">
        <x:v>1</x:v>
      </x:c>
      <x:c r="O372" s="38" t="str">
        <x:v>Unidad</x:v>
      </x:c>
      <x:c r="P372" s="99" t="n">
        <x:v>1.89</x:v>
      </x:c>
      <x:c r="Q372" s="114" t="n">
        <x:v>0</x:v>
      </x:c>
      <x:c r="R372" s="99" t="n">
        <x:v>47.25</x:v>
      </x:c>
      <x:c r="S372" s="99" t="n">
        <x:f>IFERROR(R372/L372,P372*(1-Q372))</x:f>
        <x:v>1.89</x:v>
      </x:c>
      <x:c r="T372" s="114" t="n">
        <x:v>0.07</x:v>
      </x:c>
      <x:c r="U372" s="99" t="n">
        <x:f>S372*(1+T372)</x:f>
        <x:v>2.0223</x:v>
      </x:c>
      <x:c r="V372" s="99" t="n">
        <x:f>S372</x:f>
        <x:v>1.89</x:v>
      </x:c>
      <x:c r="W372" s="99" t="n">
        <x:f>V372-S372</x:f>
        <x:v>0</x:v>
      </x:c>
      <x:c r="X372" s="114" t="n">
        <x:f>IFERROR(W372/V372,0)</x:f>
        <x:v>0</x:v>
      </x:c>
      <x:c r="Y372" s="38" t="str">
        <x:v>Por unidad</x:v>
      </x:c>
      <x:c r="Z372" s="38" t="str">
        <x:f>IF(Y372="Botella / 3 instalaciones","Precio botella / 3",IF(Y372="Por rollo o metros proporcionales","Si se pasa rollo: rollo completo. Si se pasan metros: proporcional",Y372))</x:f>
        <x:v>Por unidad</x:v>
      </x:c>
      <x:c r="AA372" s="38" t="n">
        <x:v>1</x:v>
      </x:c>
      <x:c r="AB372" s="38" t="str"/>
      <x:c r="AC372" s="38" t="str"/>
      <x:c r="AD372" s="116" t="str">
        <x:v>2026-06-30</x:v>
      </x:c>
      <x:c r="AE372" s="38" t="str">
        <x:v>No</x:v>
      </x:c>
      <x:c r="AF372" s="38" t="str"/>
    </x:row>
    <x:row r="373">
      <x:c r="A373" s="38" t="str">
        <x:v>MAT-0372</x:v>
      </x:c>
      <x:c r="B373" s="38" t="str">
        <x:v>Sí</x:v>
      </x:c>
      <x:c r="C373" s="38" t="str">
        <x:v>Pequeño material</x:v>
      </x:c>
      <x:c r="D373" s="38" t="str">
        <x:v>Consumible</x:v>
      </x:c>
      <x:c r="E373" s="38" t="str">
        <x:v>Cinta Super Adhes.B/N 12Mm 8Mt</x:v>
      </x:c>
      <x:c r="F373" s="38" t="str">
        <x:v>CINTA SUPER ADHES.B/N 12mm 8Mt</x:v>
      </x:c>
      <x:c r="G373" s="38" t="str">
        <x:v>BTH-TZeS231 / 626016</x:v>
      </x:c>
      <x:c r="H373" s="38" t="str">
        <x:v>Comercial Eléctrica Canarias, S.A.</x:v>
      </x:c>
      <x:c r="I373" s="38" t="str">
        <x:v>Factura 91311926</x:v>
      </x:c>
      <x:c r="J373" s="115" t="str">
        <x:v>31/03/2026</x:v>
      </x:c>
      <x:c r="K373" s="38" t="str">
        <x:v>Albarán 131.531/013 (23/03/2026)</x:v>
      </x:c>
      <x:c r="L373" s="38" t="n">
        <x:v>1</x:v>
      </x:c>
      <x:c r="M373" s="38" t="str">
        <x:v>Unidad</x:v>
      </x:c>
      <x:c r="N373" s="38" t="n">
        <x:v>1</x:v>
      </x:c>
      <x:c r="O373" s="38" t="str">
        <x:v>Unidad</x:v>
      </x:c>
      <x:c r="P373" s="99" t="n">
        <x:v>19.95</x:v>
      </x:c>
      <x:c r="Q373" s="114" t="n">
        <x:v>0</x:v>
      </x:c>
      <x:c r="R373" s="99" t="n">
        <x:v>19.95</x:v>
      </x:c>
      <x:c r="S373" s="99" t="n">
        <x:f>IFERROR(R373/L373,P373*(1-Q373))</x:f>
        <x:v>19.95</x:v>
      </x:c>
      <x:c r="T373" s="114" t="n">
        <x:v>0.07</x:v>
      </x:c>
      <x:c r="U373" s="99" t="n">
        <x:f>S373*(1+T373)</x:f>
        <x:v>21.3465</x:v>
      </x:c>
      <x:c r="V373" s="99" t="n">
        <x:f>S373</x:f>
        <x:v>19.95</x:v>
      </x:c>
      <x:c r="W373" s="99" t="n">
        <x:f>V373-S373</x:f>
        <x:v>0</x:v>
      </x:c>
      <x:c r="X373" s="114" t="n">
        <x:f>IFERROR(W373/V373,0)</x:f>
        <x:v>0</x:v>
      </x:c>
      <x:c r="Y373" s="38" t="str">
        <x:v>Por unidad</x:v>
      </x:c>
      <x:c r="Z373" s="38" t="str">
        <x:f>IF(Y373="Botella / 3 instalaciones","Precio botella / 3",IF(Y373="Por rollo o metros proporcionales","Si se pasa rollo: rollo completo. Si se pasan metros: proporcional",Y373))</x:f>
        <x:v>Por unidad</x:v>
      </x:c>
      <x:c r="AA373" s="38" t="n">
        <x:v>1</x:v>
      </x:c>
      <x:c r="AB373" s="38" t="str"/>
      <x:c r="AC373" s="38" t="str"/>
      <x:c r="AD373" s="116" t="str">
        <x:v>2026-06-30</x:v>
      </x:c>
      <x:c r="AE373" s="38" t="str">
        <x:v>No</x:v>
      </x:c>
      <x:c r="AF373" s="38" t="str"/>
    </x:row>
    <x:row r="374">
      <x:c r="A374" s="38" t="str">
        <x:v>MAT-0373</x:v>
      </x:c>
      <x:c r="B374" s="38" t="str">
        <x:v>Sí</x:v>
      </x:c>
      <x:c r="C374" s="38" t="str">
        <x:v>Electricidad</x:v>
      </x:c>
      <x:c r="D374" s="38" t="str">
        <x:v>Cable eléctrico</x:v>
      </x:c>
      <x:c r="E374" s="38" t="str">
        <x:v>Cable Rz1-K Cpr 3G2.5 Rollo</x:v>
      </x:c>
      <x:c r="F374" s="38" t="str">
        <x:v>CABLE RZ1-K CPR 3G2.5 ROLLO</x:v>
      </x:c>
      <x:c r="G374" s="38" t="str">
        <x:v>CABLE / 5551477</x:v>
      </x:c>
      <x:c r="H374" s="38" t="str">
        <x:v>Comercial Eléctrica Canarias, S.A.</x:v>
      </x:c>
      <x:c r="I374" s="38" t="str">
        <x:v>Factura 91311926</x:v>
      </x:c>
      <x:c r="J374" s="115" t="str">
        <x:v>31/03/2026</x:v>
      </x:c>
      <x:c r="K374" s="38" t="str">
        <x:v>Albarán 131.545/013 (23/03/2026)</x:v>
      </x:c>
      <x:c r="L374" s="38" t="n">
        <x:v>100</x:v>
      </x:c>
      <x:c r="M374" s="38" t="str">
        <x:v>Unidad</x:v>
      </x:c>
      <x:c r="N374" s="38" t="n">
        <x:v>1</x:v>
      </x:c>
      <x:c r="O374" s="38" t="str">
        <x:v>Unidad</x:v>
      </x:c>
      <x:c r="P374" s="99" t="n">
        <x:v>1.408</x:v>
      </x:c>
      <x:c r="Q374" s="114" t="n">
        <x:v>0</x:v>
      </x:c>
      <x:c r="R374" s="99" t="n">
        <x:v>140.8</x:v>
      </x:c>
      <x:c r="S374" s="99" t="n">
        <x:f>IFERROR(R374/L374,P374*(1-Q374))</x:f>
        <x:v>1.4080000000000001</x:v>
      </x:c>
      <x:c r="T374" s="114" t="n">
        <x:v>0.07</x:v>
      </x:c>
      <x:c r="U374" s="99" t="n">
        <x:f>S374*(1+T374)</x:f>
        <x:v>1.5065600000000003</x:v>
      </x:c>
      <x:c r="V374" s="99" t="n">
        <x:f>S374</x:f>
        <x:v>1.4080000000000001</x:v>
      </x:c>
      <x:c r="W374" s="99" t="n">
        <x:f>V374-S374</x:f>
        <x:v>0</x:v>
      </x:c>
      <x:c r="X374" s="114" t="n">
        <x:f>IFERROR(W374/V374,0)</x:f>
        <x:v>0</x:v>
      </x:c>
      <x:c r="Y374" s="38" t="str">
        <x:v>Por unidad</x:v>
      </x:c>
      <x:c r="Z374" s="38" t="str">
        <x:f>IF(Y374="Botella / 3 instalaciones","Precio botella / 3",IF(Y374="Por rollo o metros proporcionales","Si se pasa rollo: rollo completo. Si se pasan metros: proporcional",Y374))</x:f>
        <x:v>Por unidad</x:v>
      </x:c>
      <x:c r="AA374" s="38" t="n">
        <x:v>1</x:v>
      </x:c>
      <x:c r="AB374" s="38" t="str"/>
      <x:c r="AC374" s="38" t="str"/>
      <x:c r="AD374" s="116" t="str">
        <x:v>2026-06-30</x:v>
      </x:c>
      <x:c r="AE374" s="38" t="str">
        <x:v>No</x:v>
      </x:c>
      <x:c r="AF374" s="38" t="str"/>
    </x:row>
    <x:row r="375">
      <x:c r="A375" s="38" t="str">
        <x:v>MAT-0374</x:v>
      </x:c>
      <x:c r="B375" s="38" t="str">
        <x:v>Sí</x:v>
      </x:c>
      <x:c r="C375" s="38" t="str">
        <x:v>Sin clasificar</x:v>
      </x:c>
      <x:c r="D375" s="38" t="str"/>
      <x:c r="E375" s="38" t="str">
        <x:v>Señal Triang.Riesgo Adh.105Mm</x:v>
      </x:c>
      <x:c r="F375" s="38" t="str">
        <x:v>SEÑAL TRIANG.RIESGO ADH.105mm</x:v>
      </x:c>
      <x:c r="G375" s="38" t="str">
        <x:v>SOF-725110 / 16550</x:v>
      </x:c>
      <x:c r="H375" s="38" t="str">
        <x:v>Comercial Eléctrica Canarias, S.A.</x:v>
      </x:c>
      <x:c r="I375" s="38" t="str">
        <x:v>Factura 91311926</x:v>
      </x:c>
      <x:c r="J375" s="115" t="str">
        <x:v>31/03/2026</x:v>
      </x:c>
      <x:c r="K375" s="38" t="str">
        <x:v>Albarán 131.545/013 (23/03/2026)</x:v>
      </x:c>
      <x:c r="L375" s="38" t="n">
        <x:v>1</x:v>
      </x:c>
      <x:c r="M375" s="38" t="str">
        <x:v>Unidad</x:v>
      </x:c>
      <x:c r="N375" s="38" t="n">
        <x:v>1</x:v>
      </x:c>
      <x:c r="O375" s="38" t="str">
        <x:v>Unidad</x:v>
      </x:c>
      <x:c r="P375" s="99" t="n">
        <x:v>0.71</x:v>
      </x:c>
      <x:c r="Q375" s="114" t="n">
        <x:v>0</x:v>
      </x:c>
      <x:c r="R375" s="99" t="n">
        <x:v>0.71</x:v>
      </x:c>
      <x:c r="S375" s="99" t="n">
        <x:f>IFERROR(R375/L375,P375*(1-Q375))</x:f>
        <x:v>0.71</x:v>
      </x:c>
      <x:c r="T375" s="114" t="n">
        <x:v>0.07</x:v>
      </x:c>
      <x:c r="U375" s="99" t="n">
        <x:f>S375*(1+T375)</x:f>
        <x:v>0.7597</x:v>
      </x:c>
      <x:c r="V375" s="99" t="n">
        <x:f>S375</x:f>
        <x:v>0.71</x:v>
      </x:c>
      <x:c r="W375" s="99" t="n">
        <x:f>V375-S375</x:f>
        <x:v>0</x:v>
      </x:c>
      <x:c r="X375" s="114" t="n">
        <x:f>IFERROR(W375/V375,0)</x:f>
        <x:v>0</x:v>
      </x:c>
      <x:c r="Y375" s="38" t="str">
        <x:v>Por unidad</x:v>
      </x:c>
      <x:c r="Z375" s="38" t="str">
        <x:f>IF(Y375="Botella / 3 instalaciones","Precio botella / 3",IF(Y375="Por rollo o metros proporcionales","Si se pasa rollo: rollo completo. Si se pasan metros: proporcional",Y375))</x:f>
        <x:v>Por unidad</x:v>
      </x:c>
      <x:c r="AA375" s="38" t="n">
        <x:v>1</x:v>
      </x:c>
      <x:c r="AB375" s="38" t="str"/>
      <x:c r="AC375" s="38" t="str"/>
      <x:c r="AD375" s="116" t="str">
        <x:v>2026-06-30</x:v>
      </x:c>
      <x:c r="AE375" s="38" t="str">
        <x:v>Sí</x:v>
      </x:c>
      <x:c r="AF375" s="38" t="str">
        <x:v>Revisar categoría antes de usar en cálculo automático.</x:v>
      </x:c>
    </x:row>
    <x:row r="376">
      <x:c r="A376" s="38" t="str">
        <x:v>MAT-0375</x:v>
      </x:c>
      <x:c r="B376" s="38" t="str">
        <x:v>Sí</x:v>
      </x:c>
      <x:c r="C376" s="38" t="str">
        <x:v>Sin clasificar</x:v>
      </x:c>
      <x:c r="D376" s="38" t="str"/>
      <x:c r="E376" s="38" t="str">
        <x:v>Tubo Corru.L.H.34223 Gris M40R</x:v>
      </x:c>
      <x:c r="F376" s="38" t="str">
        <x:v>TUBO CORRU.L.H.34223 GRIS M40R</x:v>
      </x:c>
      <x:c r="G376" s="38" t="str">
        <x:v>GEW-DX20040R / 9200408</x:v>
      </x:c>
      <x:c r="H376" s="38" t="str">
        <x:v>Comercial Eléctrica Canarias, S.A.</x:v>
      </x:c>
      <x:c r="I376" s="38" t="str">
        <x:v>Factura 91311926</x:v>
      </x:c>
      <x:c r="J376" s="115" t="str">
        <x:v>31/03/2026</x:v>
      </x:c>
      <x:c r="K376" s="38" t="str">
        <x:v>Albarán 131.669/013 (30/03/2026)</x:v>
      </x:c>
      <x:c r="L376" s="38" t="n">
        <x:v>50</x:v>
      </x:c>
      <x:c r="M376" s="38" t="str">
        <x:v>Unidad</x:v>
      </x:c>
      <x:c r="N376" s="38" t="n">
        <x:v>1</x:v>
      </x:c>
      <x:c r="O376" s="38" t="str">
        <x:v>Unidad</x:v>
      </x:c>
      <x:c r="P376" s="99" t="n">
        <x:v>1.376</x:v>
      </x:c>
      <x:c r="Q376" s="114" t="n">
        <x:v>0</x:v>
      </x:c>
      <x:c r="R376" s="99" t="n">
        <x:v>68.8</x:v>
      </x:c>
      <x:c r="S376" s="99" t="n">
        <x:f>IFERROR(R376/L376,P376*(1-Q376))</x:f>
        <x:v>1.376</x:v>
      </x:c>
      <x:c r="T376" s="114" t="n">
        <x:v>0.03</x:v>
      </x:c>
      <x:c r="U376" s="99" t="n">
        <x:f>S376*(1+T376)</x:f>
        <x:v>1.4172799999999999</x:v>
      </x:c>
      <x:c r="V376" s="99" t="n">
        <x:f>S376</x:f>
        <x:v>1.376</x:v>
      </x:c>
      <x:c r="W376" s="99" t="n">
        <x:f>V376-S376</x:f>
        <x:v>0</x:v>
      </x:c>
      <x:c r="X376" s="114" t="n">
        <x:f>IFERROR(W376/V376,0)</x:f>
        <x:v>0</x:v>
      </x:c>
      <x:c r="Y376" s="38" t="str">
        <x:v>Por unidad</x:v>
      </x:c>
      <x:c r="Z376" s="38" t="str">
        <x:f>IF(Y376="Botella / 3 instalaciones","Precio botella / 3",IF(Y376="Por rollo o metros proporcionales","Si se pasa rollo: rollo completo. Si se pasan metros: proporcional",Y376))</x:f>
        <x:v>Por unidad</x:v>
      </x:c>
      <x:c r="AA376" s="38" t="n">
        <x:v>1</x:v>
      </x:c>
      <x:c r="AB376" s="38" t="str"/>
      <x:c r="AC376" s="38" t="str"/>
      <x:c r="AD376" s="116" t="str">
        <x:v>2026-06-30</x:v>
      </x:c>
      <x:c r="AE376" s="38" t="str">
        <x:v>Sí</x:v>
      </x:c>
      <x:c r="AF376" s="38" t="str">
        <x:v>Revisar categoría antes de usar en cálculo automático.</x:v>
      </x:c>
    </x:row>
    <x:row r="377">
      <x:c r="A377" s="38" t="str">
        <x:v>MAT-0376</x:v>
      </x:c>
      <x:c r="B377" s="38" t="str">
        <x:v>Sí</x:v>
      </x:c>
      <x:c r="C377" s="38" t="str">
        <x:v>Desagüe</x:v>
      </x:c>
      <x:c r="D377" s="38" t="str">
        <x:v>Tubo/accesorios desagüe</x:v>
      </x:c>
      <x:c r="E377" s="38" t="str">
        <x:v>Tubo Pvc Rig.L.H. Rkhf 3M M32</x:v>
      </x:c>
      <x:c r="F377" s="38" t="str">
        <x:v>TUBO PVC RIG.L.H. RKHF 3M M32</x:v>
      </x:c>
      <x:c r="G377" s="38" t="str">
        <x:v>GEW-DX26332 / 9263329</x:v>
      </x:c>
      <x:c r="H377" s="38" t="str">
        <x:v>Comercial Eléctrica Canarias, S.A.</x:v>
      </x:c>
      <x:c r="I377" s="38" t="str">
        <x:v>Factura 91311926</x:v>
      </x:c>
      <x:c r="J377" s="115" t="str">
        <x:v>31/03/2026</x:v>
      </x:c>
      <x:c r="K377" s="38" t="str">
        <x:v>Albarán 161.462/016 (18/03/2026)</x:v>
      </x:c>
      <x:c r="L377" s="38" t="n">
        <x:v>9</x:v>
      </x:c>
      <x:c r="M377" s="38" t="str">
        <x:v>Unidad</x:v>
      </x:c>
      <x:c r="N377" s="38" t="n">
        <x:v>1</x:v>
      </x:c>
      <x:c r="O377" s="38" t="str">
        <x:v>Unidad</x:v>
      </x:c>
      <x:c r="P377" s="99" t="n">
        <x:v>2.44</x:v>
      </x:c>
      <x:c r="Q377" s="114" t="n">
        <x:v>0</x:v>
      </x:c>
      <x:c r="R377" s="99" t="n">
        <x:v>21.96</x:v>
      </x:c>
      <x:c r="S377" s="99" t="n">
        <x:f>IFERROR(R377/L377,P377*(1-Q377))</x:f>
        <x:v>2.44</x:v>
      </x:c>
      <x:c r="T377" s="114" t="n">
        <x:v>0.03</x:v>
      </x:c>
      <x:c r="U377" s="99" t="n">
        <x:f>S377*(1+T377)</x:f>
        <x:v>2.5132</x:v>
      </x:c>
      <x:c r="V377" s="99" t="n">
        <x:f>S377</x:f>
        <x:v>2.44</x:v>
      </x:c>
      <x:c r="W377" s="99" t="n">
        <x:f>V377-S377</x:f>
        <x:v>0</x:v>
      </x:c>
      <x:c r="X377" s="114" t="n">
        <x:f>IFERROR(W377/V377,0)</x:f>
        <x:v>0</x:v>
      </x:c>
      <x:c r="Y377" s="38" t="str">
        <x:v>Por unidad</x:v>
      </x:c>
      <x:c r="Z377" s="38" t="str">
        <x:f>IF(Y377="Botella / 3 instalaciones","Precio botella / 3",IF(Y377="Por rollo o metros proporcionales","Si se pasa rollo: rollo completo. Si se pasan metros: proporcional",Y377))</x:f>
        <x:v>Por unidad</x:v>
      </x:c>
      <x:c r="AA377" s="38" t="n">
        <x:v>1</x:v>
      </x:c>
      <x:c r="AB377" s="38" t="str"/>
      <x:c r="AC377" s="38" t="str"/>
      <x:c r="AD377" s="116" t="str">
        <x:v>2026-06-30</x:v>
      </x:c>
      <x:c r="AE377" s="38" t="str">
        <x:v>No</x:v>
      </x:c>
      <x:c r="AF377" s="38" t="str"/>
    </x:row>
    <x:row r="378">
      <x:c r="A378" s="38" t="str">
        <x:v>MAT-0377</x:v>
      </x:c>
      <x:c r="B378" s="38" t="str">
        <x:v>Sí</x:v>
      </x:c>
      <x:c r="C378" s="38" t="str">
        <x:v>Sin clasificar</x:v>
      </x:c>
      <x:c r="D378" s="38" t="str"/>
      <x:c r="E378" s="38" t="str">
        <x:v>Curva Rks Gris Ip40 M32</x:v>
      </x:c>
      <x:c r="F378" s="38" t="str">
        <x:v>CURVA RKS GRIS IP40 M32</x:v>
      </x:c>
      <x:c r="G378" s="38" t="str">
        <x:v>GEW-DX40132 / 9401329</x:v>
      </x:c>
      <x:c r="H378" s="38" t="str">
        <x:v>Comercial Eléctrica Canarias, S.A.</x:v>
      </x:c>
      <x:c r="I378" s="38" t="str">
        <x:v>Factura 91311926</x:v>
      </x:c>
      <x:c r="J378" s="115" t="str">
        <x:v>31/03/2026</x:v>
      </x:c>
      <x:c r="K378" s="38" t="str">
        <x:v>Albarán 161.462/016 (18/03/2026)</x:v>
      </x:c>
      <x:c r="L378" s="38" t="n">
        <x:v>5</x:v>
      </x:c>
      <x:c r="M378" s="38" t="str">
        <x:v>Unidad</x:v>
      </x:c>
      <x:c r="N378" s="38" t="n">
        <x:v>1</x:v>
      </x:c>
      <x:c r="O378" s="38" t="str">
        <x:v>Unidad</x:v>
      </x:c>
      <x:c r="P378" s="99" t="n">
        <x:v>1.728</x:v>
      </x:c>
      <x:c r="Q378" s="114" t="n">
        <x:v>0</x:v>
      </x:c>
      <x:c r="R378" s="99" t="n">
        <x:v>8.64</x:v>
      </x:c>
      <x:c r="S378" s="99" t="n">
        <x:f>IFERROR(R378/L378,P378*(1-Q378))</x:f>
        <x:v>1.7280000000000002</x:v>
      </x:c>
      <x:c r="T378" s="114" t="n">
        <x:v>0.03</x:v>
      </x:c>
      <x:c r="U378" s="99" t="n">
        <x:f>S378*(1+T378)</x:f>
        <x:v>1.7798400000000003</x:v>
      </x:c>
      <x:c r="V378" s="99" t="n">
        <x:f>S378</x:f>
        <x:v>1.7280000000000002</x:v>
      </x:c>
      <x:c r="W378" s="99" t="n">
        <x:f>V378-S378</x:f>
        <x:v>0</x:v>
      </x:c>
      <x:c r="X378" s="114" t="n">
        <x:f>IFERROR(W378/V378,0)</x:f>
        <x:v>0</x:v>
      </x:c>
      <x:c r="Y378" s="38" t="str">
        <x:v>Por unidad</x:v>
      </x:c>
      <x:c r="Z378" s="38" t="str">
        <x:f>IF(Y378="Botella / 3 instalaciones","Precio botella / 3",IF(Y378="Por rollo o metros proporcionales","Si se pasa rollo: rollo completo. Si se pasan metros: proporcional",Y378))</x:f>
        <x:v>Por unidad</x:v>
      </x:c>
      <x:c r="AA378" s="38" t="n">
        <x:v>1</x:v>
      </x:c>
      <x:c r="AB378" s="38" t="str"/>
      <x:c r="AC378" s="38" t="str"/>
      <x:c r="AD378" s="116" t="str">
        <x:v>2026-06-30</x:v>
      </x:c>
      <x:c r="AE378" s="38" t="str">
        <x:v>Sí</x:v>
      </x:c>
      <x:c r="AF378" s="38" t="str">
        <x:v>Revisar categoría antes de usar en cálculo automático.</x:v>
      </x:c>
    </x:row>
    <x:row r="379">
      <x:c r="A379" s="38" t="str">
        <x:v>MAT-0378</x:v>
      </x:c>
      <x:c r="B379" s="38" t="str">
        <x:v>Sí</x:v>
      </x:c>
      <x:c r="C379" s="38" t="str">
        <x:v>Conductos/Ventilación</x:v>
      </x:c>
      <x:c r="D379" s="38" t="str">
        <x:v>Conducto/accesorio</x:v>
      </x:c>
      <x:c r="E379" s="38" t="str">
        <x:v>Manguito Rkm Gris Ip40 M32</x:v>
      </x:c>
      <x:c r="F379" s="38" t="str">
        <x:v>MANGUITO RKM GRIS IP40 M32</x:v>
      </x:c>
      <x:c r="G379" s="38" t="str">
        <x:v>GEW-DX40032 / 9400329</x:v>
      </x:c>
      <x:c r="H379" s="38" t="str">
        <x:v>Comercial Eléctrica Canarias, S.A.</x:v>
      </x:c>
      <x:c r="I379" s="38" t="str">
        <x:v>Factura 91311926</x:v>
      </x:c>
      <x:c r="J379" s="115" t="str">
        <x:v>31/03/2026</x:v>
      </x:c>
      <x:c r="K379" s="38" t="str">
        <x:v>Albarán 161.462/016 (18/03/2026)</x:v>
      </x:c>
      <x:c r="L379" s="38" t="n">
        <x:v>5</x:v>
      </x:c>
      <x:c r="M379" s="38" t="str">
        <x:v>Unidad</x:v>
      </x:c>
      <x:c r="N379" s="38" t="n">
        <x:v>1</x:v>
      </x:c>
      <x:c r="O379" s="38" t="str">
        <x:v>Unidad</x:v>
      </x:c>
      <x:c r="P379" s="99" t="n">
        <x:v>0.506</x:v>
      </x:c>
      <x:c r="Q379" s="114" t="n">
        <x:v>0</x:v>
      </x:c>
      <x:c r="R379" s="99" t="n">
        <x:v>2.53</x:v>
      </x:c>
      <x:c r="S379" s="99" t="n">
        <x:f>IFERROR(R379/L379,P379*(1-Q379))</x:f>
        <x:v>0.506</x:v>
      </x:c>
      <x:c r="T379" s="114" t="n">
        <x:v>0.03</x:v>
      </x:c>
      <x:c r="U379" s="99" t="n">
        <x:f>S379*(1+T379)</x:f>
        <x:v>0.52118</x:v>
      </x:c>
      <x:c r="V379" s="99" t="n">
        <x:f>S379</x:f>
        <x:v>0.506</x:v>
      </x:c>
      <x:c r="W379" s="99" t="n">
        <x:f>V379-S379</x:f>
        <x:v>0</x:v>
      </x:c>
      <x:c r="X379" s="114" t="n">
        <x:f>IFERROR(W379/V379,0)</x:f>
        <x:v>0</x:v>
      </x:c>
      <x:c r="Y379" s="38" t="str">
        <x:v>Por unidad</x:v>
      </x:c>
      <x:c r="Z379" s="38" t="str">
        <x:f>IF(Y379="Botella / 3 instalaciones","Precio botella / 3",IF(Y379="Por rollo o metros proporcionales","Si se pasa rollo: rollo completo. Si se pasan metros: proporcional",Y379))</x:f>
        <x:v>Por unidad</x:v>
      </x:c>
      <x:c r="AA379" s="38" t="n">
        <x:v>1</x:v>
      </x:c>
      <x:c r="AB379" s="38" t="str"/>
      <x:c r="AC379" s="38" t="str"/>
      <x:c r="AD379" s="116" t="str">
        <x:v>2026-06-30</x:v>
      </x:c>
      <x:c r="AE379" s="38" t="str">
        <x:v>No</x:v>
      </x:c>
      <x:c r="AF379" s="38" t="str"/>
    </x:row>
    <x:row r="380">
      <x:c r="A380" s="38" t="str">
        <x:v>MAT-0379</x:v>
      </x:c>
      <x:c r="B380" s="38" t="str">
        <x:v>Sí</x:v>
      </x:c>
      <x:c r="C380" s="38" t="str">
        <x:v>Sin clasificar</x:v>
      </x:c>
      <x:c r="D380" s="38" t="str"/>
      <x:c r="E380" s="38" t="str">
        <x:v>Abrazadera M-Quick Gris M25-32</x:v>
      </x:c>
      <x:c r="F380" s="38" t="str">
        <x:v>ABRAZADERA M-QUICK GRIS M25-32</x:v>
      </x:c>
      <x:c r="G380" s="38" t="str">
        <x:v>OBO-2153734 / 4782</x:v>
      </x:c>
      <x:c r="H380" s="38" t="str">
        <x:v>Comercial Eléctrica Canarias, S.A.</x:v>
      </x:c>
      <x:c r="I380" s="38" t="str">
        <x:v>Factura 91311926</x:v>
      </x:c>
      <x:c r="J380" s="115" t="str">
        <x:v>31/03/2026</x:v>
      </x:c>
      <x:c r="K380" s="38" t="str">
        <x:v>Albarán 161.462/016 (18/03/2026)</x:v>
      </x:c>
      <x:c r="L380" s="38" t="n">
        <x:v>15</x:v>
      </x:c>
      <x:c r="M380" s="38" t="str">
        <x:v>m²</x:v>
      </x:c>
      <x:c r="N380" s="38" t="n">
        <x:v>1</x:v>
      </x:c>
      <x:c r="O380" s="38" t="str">
        <x:v>m²</x:v>
      </x:c>
      <x:c r="P380" s="99" t="n">
        <x:v>0.661</x:v>
      </x:c>
      <x:c r="Q380" s="114" t="n">
        <x:v>0</x:v>
      </x:c>
      <x:c r="R380" s="99" t="n">
        <x:v>9.92</x:v>
      </x:c>
      <x:c r="S380" s="99" t="n">
        <x:f>IFERROR(R380/L380,P380*(1-Q380))</x:f>
        <x:v>0.6613333333333333</x:v>
      </x:c>
      <x:c r="T380" s="114" t="n">
        <x:v>0.03</x:v>
      </x:c>
      <x:c r="U380" s="99" t="n">
        <x:f>S380*(1+T380)</x:f>
        <x:v>0.6811733333333333</x:v>
      </x:c>
      <x:c r="V380" s="99" t="n">
        <x:f>S380</x:f>
        <x:v>0.6613333333333333</x:v>
      </x:c>
      <x:c r="W380" s="99" t="n">
        <x:f>V380-S380</x:f>
        <x:v>0</x:v>
      </x:c>
      <x:c r="X380" s="114" t="n">
        <x:f>IFERROR(W380/V380,0)</x:f>
        <x:v>0</x:v>
      </x:c>
      <x:c r="Y380" s="38" t="str">
        <x:v>Por unidad</x:v>
      </x:c>
      <x:c r="Z380" s="38" t="str">
        <x:f>IF(Y380="Botella / 3 instalaciones","Precio botella / 3",IF(Y380="Por rollo o metros proporcionales","Si se pasa rollo: rollo completo. Si se pasan metros: proporcional",Y380))</x:f>
        <x:v>Por unidad</x:v>
      </x:c>
      <x:c r="AA380" s="38" t="n">
        <x:v>1</x:v>
      </x:c>
      <x:c r="AB380" s="38" t="str"/>
      <x:c r="AC380" s="38" t="str"/>
      <x:c r="AD380" s="116" t="str">
        <x:v>2026-06-30</x:v>
      </x:c>
      <x:c r="AE380" s="38" t="str">
        <x:v>Sí</x:v>
      </x:c>
      <x:c r="AF380" s="38" t="str">
        <x:v>Revisar categoría antes de usar en cálculo automático.</x:v>
      </x:c>
    </x:row>
    <x:row r="381">
      <x:c r="A381" s="38" t="str">
        <x:v>MAT-0380</x:v>
      </x:c>
      <x:c r="B381" s="38" t="str">
        <x:v>Sí</x:v>
      </x:c>
      <x:c r="C381" s="38" t="str">
        <x:v>Sin clasificar</x:v>
      </x:c>
      <x:c r="D381" s="38" t="str"/>
      <x:c r="E381" s="38" t="str">
        <x:v>Caja Deriv.100X100X50 Ip55</x:v>
      </x:c>
      <x:c r="F381" s="38" t="str">
        <x:v>CAJA DERIV.100x100x50 IP55</x:v>
      </x:c>
      <x:c r="G381" s="38" t="str">
        <x:v>GEW-GW44024 / 944024</x:v>
      </x:c>
      <x:c r="H381" s="38" t="str">
        <x:v>Comercial Eléctrica Canarias, S.A.</x:v>
      </x:c>
      <x:c r="I381" s="38" t="str">
        <x:v>Factura 91311926</x:v>
      </x:c>
      <x:c r="J381" s="115" t="str">
        <x:v>31/03/2026</x:v>
      </x:c>
      <x:c r="K381" s="38" t="str">
        <x:v>Albarán 301.428/001 (24/03/2026)</x:v>
      </x:c>
      <x:c r="L381" s="38" t="n">
        <x:v>3</x:v>
      </x:c>
      <x:c r="M381" s="38" t="str">
        <x:v>Unidad</x:v>
      </x:c>
      <x:c r="N381" s="38" t="n">
        <x:v>1</x:v>
      </x:c>
      <x:c r="O381" s="38" t="str">
        <x:v>Unidad</x:v>
      </x:c>
      <x:c r="P381" s="99" t="n">
        <x:v>1.584</x:v>
      </x:c>
      <x:c r="Q381" s="114" t="n">
        <x:v>0</x:v>
      </x:c>
      <x:c r="R381" s="99" t="n">
        <x:v>4.75</x:v>
      </x:c>
      <x:c r="S381" s="99" t="n">
        <x:f>IFERROR(R381/L381,P381*(1-Q381))</x:f>
        <x:v>1.5833333333333333</x:v>
      </x:c>
      <x:c r="T381" s="114" t="n">
        <x:v>0.07</x:v>
      </x:c>
      <x:c r="U381" s="99" t="n">
        <x:f>S381*(1+T381)</x:f>
        <x:v>1.6941666666666666</x:v>
      </x:c>
      <x:c r="V381" s="99" t="n">
        <x:f>S381</x:f>
        <x:v>1.5833333333333333</x:v>
      </x:c>
      <x:c r="W381" s="99" t="n">
        <x:f>V381-S381</x:f>
        <x:v>0</x:v>
      </x:c>
      <x:c r="X381" s="114" t="n">
        <x:f>IFERROR(W381/V381,0)</x:f>
        <x:v>0</x:v>
      </x:c>
      <x:c r="Y381" s="38" t="str">
        <x:v>Por unidad</x:v>
      </x:c>
      <x:c r="Z381" s="38" t="str">
        <x:f>IF(Y381="Botella / 3 instalaciones","Precio botella / 3",IF(Y381="Por rollo o metros proporcionales","Si se pasa rollo: rollo completo. Si se pasan metros: proporcional",Y381))</x:f>
        <x:v>Por unidad</x:v>
      </x:c>
      <x:c r="AA381" s="38" t="n">
        <x:v>1</x:v>
      </x:c>
      <x:c r="AB381" s="38" t="str"/>
      <x:c r="AC381" s="38" t="str"/>
      <x:c r="AD381" s="116" t="str">
        <x:v>2026-06-30</x:v>
      </x:c>
      <x:c r="AE381" s="38" t="str">
        <x:v>Sí</x:v>
      </x:c>
      <x:c r="AF381" s="38" t="str">
        <x:v>Revisar categoría antes de usar en cálculo automático.</x:v>
      </x:c>
    </x:row>
    <x:row r="382">
      <x:c r="A382" s="38" t="str">
        <x:v>MAT-0381</x:v>
      </x:c>
      <x:c r="B382" s="38" t="str">
        <x:v>Sí</x:v>
      </x:c>
      <x:c r="C382" s="38" t="str">
        <x:v>Sin clasificar</x:v>
      </x:c>
      <x:c r="D382" s="38" t="str"/>
      <x:c r="E382" s="38" t="str">
        <x:v>Caja Enlazable Univ.Cuadrada</x:v>
      </x:c>
      <x:c r="F382" s="38" t="str">
        <x:v>CAJA ENLAZABLE UNIV.CUADRADA</x:v>
      </x:c>
      <x:c r="G382" s="38" t="str">
        <x:v>SOL-6625 / 866250</x:v>
      </x:c>
      <x:c r="H382" s="38" t="str">
        <x:v>Comercial Eléctrica Canarias, S.A.</x:v>
      </x:c>
      <x:c r="I382" s="38" t="str">
        <x:v>Factura 91538226</x:v>
      </x:c>
      <x:c r="J382" s="115" t="str">
        <x:v>15/04/2026</x:v>
      </x:c>
      <x:c r="K382" s="38" t="str">
        <x:v>Albarán 131.768/013 (07/04/2026)</x:v>
      </x:c>
      <x:c r="L382" s="38" t="n">
        <x:v>20</x:v>
      </x:c>
      <x:c r="M382" s="38" t="str">
        <x:v>Unidad</x:v>
      </x:c>
      <x:c r="N382" s="38" t="n">
        <x:v>1</x:v>
      </x:c>
      <x:c r="O382" s="38" t="str">
        <x:v>Unidad</x:v>
      </x:c>
      <x:c r="P382" s="99" t="n">
        <x:v>0.165</x:v>
      </x:c>
      <x:c r="Q382" s="114" t="n">
        <x:v>0</x:v>
      </x:c>
      <x:c r="R382" s="99" t="n">
        <x:v>3.3</x:v>
      </x:c>
      <x:c r="S382" s="99" t="n">
        <x:f>IFERROR(R382/L382,P382*(1-Q382))</x:f>
        <x:v>0.16499999999999998</x:v>
      </x:c>
      <x:c r="T382" s="114" t="n">
        <x:v>0.07</x:v>
      </x:c>
      <x:c r="U382" s="99" t="n">
        <x:f>S382*(1+T382)</x:f>
        <x:v>0.17654999999999998</x:v>
      </x:c>
      <x:c r="V382" s="99" t="n">
        <x:f>S382</x:f>
        <x:v>0.16499999999999998</x:v>
      </x:c>
      <x:c r="W382" s="99" t="n">
        <x:f>V382-S382</x:f>
        <x:v>0</x:v>
      </x:c>
      <x:c r="X382" s="114" t="n">
        <x:f>IFERROR(W382/V382,0)</x:f>
        <x:v>0</x:v>
      </x:c>
      <x:c r="Y382" s="38" t="str">
        <x:v>Por unidad</x:v>
      </x:c>
      <x:c r="Z382" s="38" t="str">
        <x:f>IF(Y382="Botella / 3 instalaciones","Precio botella / 3",IF(Y382="Por rollo o metros proporcionales","Si se pasa rollo: rollo completo. Si se pasan metros: proporcional",Y382))</x:f>
        <x:v>Por unidad</x:v>
      </x:c>
      <x:c r="AA382" s="38" t="n">
        <x:v>1</x:v>
      </x:c>
      <x:c r="AB382" s="38" t="str"/>
      <x:c r="AC382" s="38" t="str"/>
      <x:c r="AD382" s="116" t="str">
        <x:v>2026-06-30</x:v>
      </x:c>
      <x:c r="AE382" s="38" t="str">
        <x:v>Sí</x:v>
      </x:c>
      <x:c r="AF382" s="38" t="str">
        <x:v>Revisar categoría antes de usar en cálculo automático.</x:v>
      </x:c>
    </x:row>
    <x:row r="383">
      <x:c r="A383" s="38" t="str">
        <x:v>MAT-0382</x:v>
      </x:c>
      <x:c r="B383" s="38" t="str">
        <x:v>Sí</x:v>
      </x:c>
      <x:c r="C383" s="38" t="str">
        <x:v>Electricidad</x:v>
      </x:c>
      <x:c r="D383" s="38" t="str">
        <x:v>Cable eléctrico</x:v>
      </x:c>
      <x:c r="E383" s="38" t="str">
        <x:v>Cable Rz1-K Cpr 0.6/1Kv 4G1.5</x:v>
      </x:c>
      <x:c r="F383" s="38" t="str">
        <x:v>CABLE RZ1-K CPR 0.6/1KV 4G1.5</x:v>
      </x:c>
      <x:c r="G383" s="38" t="str">
        <x:v>CABLE / 5551446</x:v>
      </x:c>
      <x:c r="H383" s="38" t="str">
        <x:v>Comercial Eléctrica Canarias, S.A.</x:v>
      </x:c>
      <x:c r="I383" s="38" t="str">
        <x:v>Factura 91538226</x:v>
      </x:c>
      <x:c r="J383" s="115" t="str">
        <x:v>15/04/2026</x:v>
      </x:c>
      <x:c r="K383" s="38" t="str">
        <x:v>Albarán 131.922/013 (15/04/2026)</x:v>
      </x:c>
      <x:c r="L383" s="38" t="n">
        <x:v>50</x:v>
      </x:c>
      <x:c r="M383" s="38" t="str">
        <x:v>Metro</x:v>
      </x:c>
      <x:c r="N383" s="38" t="n">
        <x:v>1</x:v>
      </x:c>
      <x:c r="O383" s="38" t="str">
        <x:v>Metro</x:v>
      </x:c>
      <x:c r="P383" s="99" t="n">
        <x:v>1.214</x:v>
      </x:c>
      <x:c r="Q383" s="114" t="n">
        <x:v>0</x:v>
      </x:c>
      <x:c r="R383" s="99" t="n">
        <x:v>60.7</x:v>
      </x:c>
      <x:c r="S383" s="99" t="n">
        <x:f>IFERROR(R383/L383,P383*(1-Q383))</x:f>
        <x:v>1.214</x:v>
      </x:c>
      <x:c r="T383" s="114" t="n">
        <x:v>0.07</x:v>
      </x:c>
      <x:c r="U383" s="99" t="n">
        <x:f>S383*(1+T383)</x:f>
        <x:v>1.29898</x:v>
      </x:c>
      <x:c r="V383" s="99" t="n">
        <x:f>S383</x:f>
        <x:v>1.214</x:v>
      </x:c>
      <x:c r="W383" s="99" t="n">
        <x:f>V383-S383</x:f>
        <x:v>0</x:v>
      </x:c>
      <x:c r="X383" s="114" t="n">
        <x:f>IFERROR(W383/V383,0)</x:f>
        <x:v>0</x:v>
      </x:c>
      <x:c r="Y383" s="38" t="str">
        <x:v>Por metros</x:v>
      </x:c>
      <x:c r="Z383" s="38" t="str">
        <x:f>IF(Y383="Botella / 3 instalaciones","Precio botella / 3",IF(Y383="Por rollo o metros proporcionales","Si se pasa rollo: rollo completo. Si se pasan metros: proporcional",Y383))</x:f>
        <x:v>Por metros</x:v>
      </x:c>
      <x:c r="AA383" s="38" t="n">
        <x:v>1</x:v>
      </x:c>
      <x:c r="AB383" s="38" t="str"/>
      <x:c r="AC383" s="38" t="str"/>
      <x:c r="AD383" s="116" t="str">
        <x:v>2026-06-30</x:v>
      </x:c>
      <x:c r="AE383" s="38" t="str">
        <x:v>No</x:v>
      </x:c>
      <x:c r="AF383" s="38" t="str"/>
    </x:row>
    <x:row r="384">
      <x:c r="A384" s="38" t="str">
        <x:v>MAT-0383</x:v>
      </x:c>
      <x:c r="B384" s="38" t="str">
        <x:v>Sí</x:v>
      </x:c>
      <x:c r="C384" s="38" t="str">
        <x:v>Sin clasificar</x:v>
      </x:c>
      <x:c r="D384" s="38" t="str"/>
      <x:c r="E384" s="38" t="str">
        <x:v>Plafon Ld 12W D230 65K Plano</x:v>
      </x:c>
      <x:c r="F384" s="38" t="str">
        <x:v>PLAFON LD 12W D230 65K PLANO</x:v>
      </x:c>
      <x:c r="G384" s="38" t="str">
        <x:v>ELK-32516 / 232516</x:v>
      </x:c>
      <x:c r="H384" s="38" t="str">
        <x:v>Comercial Eléctrica Canarias, S.A.</x:v>
      </x:c>
      <x:c r="I384" s="38" t="str">
        <x:v>Factura 91538226</x:v>
      </x:c>
      <x:c r="J384" s="115" t="str">
        <x:v>15/04/2026</x:v>
      </x:c>
      <x:c r="K384" s="38" t="str">
        <x:v>Albarán 141.580/014 (01/04/2026)</x:v>
      </x:c>
      <x:c r="L384" s="38" t="n">
        <x:v>1</x:v>
      </x:c>
      <x:c r="M384" s="38" t="str">
        <x:v>Unidad</x:v>
      </x:c>
      <x:c r="N384" s="38" t="n">
        <x:v>1</x:v>
      </x:c>
      <x:c r="O384" s="38" t="str">
        <x:v>Unidad</x:v>
      </x:c>
      <x:c r="P384" s="99" t="n">
        <x:v>9.95</x:v>
      </x:c>
      <x:c r="Q384" s="114" t="n">
        <x:v>0</x:v>
      </x:c>
      <x:c r="R384" s="99" t="n">
        <x:v>10.03</x:v>
      </x:c>
      <x:c r="S384" s="99" t="n">
        <x:f>IFERROR(R384/L384,P384*(1-Q384))</x:f>
        <x:v>10.03</x:v>
      </x:c>
      <x:c r="T384" s="114" t="n">
        <x:v>0.07</x:v>
      </x:c>
      <x:c r="U384" s="99" t="n">
        <x:f>S384*(1+T384)</x:f>
        <x:v>10.732099999999999</x:v>
      </x:c>
      <x:c r="V384" s="99" t="n">
        <x:f>S384</x:f>
        <x:v>10.03</x:v>
      </x:c>
      <x:c r="W384" s="99" t="n">
        <x:f>V384-S384</x:f>
        <x:v>0</x:v>
      </x:c>
      <x:c r="X384" s="114" t="n">
        <x:f>IFERROR(W384/V384,0)</x:f>
        <x:v>0</x:v>
      </x:c>
      <x:c r="Y384" s="38" t="str">
        <x:v>Por unidad</x:v>
      </x:c>
      <x:c r="Z384" s="38" t="str">
        <x:f>IF(Y384="Botella / 3 instalaciones","Precio botella / 3",IF(Y384="Por rollo o metros proporcionales","Si se pasa rollo: rollo completo. Si se pasan metros: proporcional",Y384))</x:f>
        <x:v>Por unidad</x:v>
      </x:c>
      <x:c r="AA384" s="38" t="n">
        <x:v>1</x:v>
      </x:c>
      <x:c r="AB384" s="38" t="str"/>
      <x:c r="AC384" s="38" t="str"/>
      <x:c r="AD384" s="116" t="str">
        <x:v>2026-06-30</x:v>
      </x:c>
      <x:c r="AE384" s="38" t="str">
        <x:v>Sí</x:v>
      </x:c>
      <x:c r="AF384" s="38" t="str">
        <x:v>Revisar categoría antes de usar en cálculo automático.</x:v>
      </x:c>
    </x:row>
    <x:row r="385">
      <x:c r="A385" s="38" t="str">
        <x:v>MAT-0384</x:v>
      </x:c>
      <x:c r="B385" s="38" t="str">
        <x:v>Sí</x:v>
      </x:c>
      <x:c r="C385" s="38" t="str">
        <x:v>Sin clasificar</x:v>
      </x:c>
      <x:c r="D385" s="38" t="str"/>
      <x:c r="E385" s="38" t="str">
        <x:v>Pila 6Lr61 9V Bl1 Energy</x:v>
      </x:c>
      <x:c r="F385" s="38" t="str">
        <x:v>PILA 6LR61 9V BL1 ENERGY</x:v>
      </x:c>
      <x:c r="G385" s="38" t="str">
        <x:v>ELK-38019 / 6607</x:v>
      </x:c>
      <x:c r="H385" s="38" t="str">
        <x:v>Comercial Eléctrica Canarias, S.A.</x:v>
      </x:c>
      <x:c r="I385" s="38" t="str">
        <x:v>Factura 91538226</x:v>
      </x:c>
      <x:c r="J385" s="115" t="str">
        <x:v>15/04/2026</x:v>
      </x:c>
      <x:c r="K385" s="38" t="str">
        <x:v>Albarán 141.580/014 (01/04/2026)</x:v>
      </x:c>
      <x:c r="L385" s="38" t="n">
        <x:v>1</x:v>
      </x:c>
      <x:c r="M385" s="38" t="str">
        <x:v>Unidad</x:v>
      </x:c>
      <x:c r="N385" s="38" t="n">
        <x:v>1</x:v>
      </x:c>
      <x:c r="O385" s="38" t="str">
        <x:v>Unidad</x:v>
      </x:c>
      <x:c r="P385" s="99" t="n">
        <x:v>2.326</x:v>
      </x:c>
      <x:c r="Q385" s="114" t="n">
        <x:v>0</x:v>
      </x:c>
      <x:c r="R385" s="99" t="n">
        <x:v>2.34</x:v>
      </x:c>
      <x:c r="S385" s="99" t="n">
        <x:f>IFERROR(R385/L385,P385*(1-Q385))</x:f>
        <x:v>2.34</x:v>
      </x:c>
      <x:c r="T385" s="114" t="n">
        <x:v>0.07</x:v>
      </x:c>
      <x:c r="U385" s="99" t="n">
        <x:f>S385*(1+T385)</x:f>
        <x:v>2.5038</x:v>
      </x:c>
      <x:c r="V385" s="99" t="n">
        <x:f>S385</x:f>
        <x:v>2.34</x:v>
      </x:c>
      <x:c r="W385" s="99" t="n">
        <x:f>V385-S385</x:f>
        <x:v>0</x:v>
      </x:c>
      <x:c r="X385" s="114" t="n">
        <x:f>IFERROR(W385/V385,0)</x:f>
        <x:v>0</x:v>
      </x:c>
      <x:c r="Y385" s="38" t="str">
        <x:v>Por unidad</x:v>
      </x:c>
      <x:c r="Z385" s="38" t="str">
        <x:f>IF(Y385="Botella / 3 instalaciones","Precio botella / 3",IF(Y385="Por rollo o metros proporcionales","Si se pasa rollo: rollo completo. Si se pasan metros: proporcional",Y385))</x:f>
        <x:v>Por unidad</x:v>
      </x:c>
      <x:c r="AA385" s="38" t="n">
        <x:v>1</x:v>
      </x:c>
      <x:c r="AB385" s="38" t="str"/>
      <x:c r="AC385" s="38" t="str"/>
      <x:c r="AD385" s="116" t="str">
        <x:v>2026-06-30</x:v>
      </x:c>
      <x:c r="AE385" s="38" t="str">
        <x:v>Sí</x:v>
      </x:c>
      <x:c r="AF385" s="38" t="str">
        <x:v>Revisar categoría antes de usar en cálculo automático.</x:v>
      </x:c>
    </x:row>
    <x:row r="386">
      <x:c r="A386" s="38" t="str">
        <x:v>MAT-0385</x:v>
      </x:c>
      <x:c r="B386" s="38" t="str">
        <x:v>Sí</x:v>
      </x:c>
      <x:c r="C386" s="38" t="str">
        <x:v>Sin clasificar</x:v>
      </x:c>
      <x:c r="D386" s="38" t="str"/>
      <x:c r="E386" s="38" t="str">
        <x:v>C.Regi.Pt- 7 294X152X75 Pladur</x:v>
      </x:c>
      <x:c r="F386" s="38" t="str">
        <x:v>C.REGI.PT- 7 294X152X75 PLADUR</x:v>
      </x:c>
      <x:c r="G386" s="38" t="str">
        <x:v>GEW-GW48007PM / 9480071</x:v>
      </x:c>
      <x:c r="H386" s="38" t="str">
        <x:v>Comercial Eléctrica Canarias, S.A.</x:v>
      </x:c>
      <x:c r="I386" s="38" t="str">
        <x:v>Factura 91538226</x:v>
      </x:c>
      <x:c r="J386" s="115" t="str">
        <x:v>15/04/2026</x:v>
      </x:c>
      <x:c r="K386" s="38" t="str">
        <x:v>Albarán 301.786/001 (14/04/2026)</x:v>
      </x:c>
      <x:c r="L386" s="38" t="n">
        <x:v>1</x:v>
      </x:c>
      <x:c r="M386" s="38" t="str">
        <x:v>Unidad</x:v>
      </x:c>
      <x:c r="N386" s="38" t="n">
        <x:v>1</x:v>
      </x:c>
      <x:c r="O386" s="38" t="str">
        <x:v>Unidad</x:v>
      </x:c>
      <x:c r="P386" s="99" t="n">
        <x:v>9.183</x:v>
      </x:c>
      <x:c r="Q386" s="114" t="n">
        <x:v>0</x:v>
      </x:c>
      <x:c r="R386" s="99" t="n">
        <x:v>9.18</x:v>
      </x:c>
      <x:c r="S386" s="99" t="n">
        <x:f>IFERROR(R386/L386,P386*(1-Q386))</x:f>
        <x:v>9.18</x:v>
      </x:c>
      <x:c r="T386" s="114" t="n">
        <x:v>0.07</x:v>
      </x:c>
      <x:c r="U386" s="99" t="n">
        <x:f>S386*(1+T386)</x:f>
        <x:v>9.8226</x:v>
      </x:c>
      <x:c r="V386" s="99" t="n">
        <x:f>S386</x:f>
        <x:v>9.18</x:v>
      </x:c>
      <x:c r="W386" s="99" t="n">
        <x:f>V386-S386</x:f>
        <x:v>0</x:v>
      </x:c>
      <x:c r="X386" s="114" t="n">
        <x:f>IFERROR(W386/V386,0)</x:f>
        <x:v>0</x:v>
      </x:c>
      <x:c r="Y386" s="38" t="str">
        <x:v>Por unidad</x:v>
      </x:c>
      <x:c r="Z386" s="38" t="str">
        <x:f>IF(Y386="Botella / 3 instalaciones","Precio botella / 3",IF(Y386="Por rollo o metros proporcionales","Si se pasa rollo: rollo completo. Si se pasan metros: proporcional",Y386))</x:f>
        <x:v>Por unidad</x:v>
      </x:c>
      <x:c r="AA386" s="38" t="n">
        <x:v>1</x:v>
      </x:c>
      <x:c r="AB386" s="38" t="str"/>
      <x:c r="AC386" s="38" t="str"/>
      <x:c r="AD386" s="116" t="str">
        <x:v>2026-06-30</x:v>
      </x:c>
      <x:c r="AE386" s="38" t="str">
        <x:v>Sí</x:v>
      </x:c>
      <x:c r="AF386" s="38" t="str">
        <x:v>Revisar categoría antes de usar en cálculo automático.</x:v>
      </x:c>
    </x:row>
    <x:row r="387">
      <x:c r="A387" s="38" t="str">
        <x:v>MAT-0386</x:v>
      </x:c>
      <x:c r="B387" s="38" t="str">
        <x:v>Sí</x:v>
      </x:c>
      <x:c r="C387" s="38" t="str">
        <x:v>Sin clasificar</x:v>
      </x:c>
      <x:c r="D387" s="38" t="str"/>
      <x:c r="E387" s="38" t="str">
        <x:v>Placa One U 2+2+2+2H Blanco Tb</x:v>
      </x:c>
      <x:c r="F387" s="38" t="str">
        <x:v>PLACA ONE U 2+2+2+2H BLANCO TB</x:v>
      </x:c>
      <x:c r="G387" s="38" t="str">
        <x:v>GEW-GW16128TB / 91612800</x:v>
      </x:c>
      <x:c r="H387" s="38" t="str">
        <x:v>Comercial Eléctrica Canarias, S.A.</x:v>
      </x:c>
      <x:c r="I387" s="38" t="str">
        <x:v>Factura 90624926</x:v>
      </x:c>
      <x:c r="J387" s="115" t="str">
        <x:v>15/02/2026</x:v>
      </x:c>
      <x:c r="K387" s="38" t="str">
        <x:v>Albarán 300.515/001 (04/02/2026)</x:v>
      </x:c>
      <x:c r="L387" s="38" t="n">
        <x:v>1</x:v>
      </x:c>
      <x:c r="M387" s="38" t="str">
        <x:v>Unidad</x:v>
      </x:c>
      <x:c r="N387" s="38" t="n">
        <x:v>1</x:v>
      </x:c>
      <x:c r="O387" s="38" t="str">
        <x:v>Unidad</x:v>
      </x:c>
      <x:c r="P387" s="99" t="n">
        <x:v>4.323</x:v>
      </x:c>
      <x:c r="Q387" s="114" t="n">
        <x:v>0</x:v>
      </x:c>
      <x:c r="R387" s="99" t="n">
        <x:v>4.32</x:v>
      </x:c>
      <x:c r="S387" s="99" t="n">
        <x:f>IFERROR(R387/L387,P387*(1-Q387))</x:f>
        <x:v>4.32</x:v>
      </x:c>
      <x:c r="T387" s="114" t="n">
        <x:v>0.07</x:v>
      </x:c>
      <x:c r="U387" s="99" t="n">
        <x:f>S387*(1+T387)</x:f>
        <x:v>4.622400000000001</x:v>
      </x:c>
      <x:c r="V387" s="99" t="n">
        <x:f>S387</x:f>
        <x:v>4.32</x:v>
      </x:c>
      <x:c r="W387" s="99" t="n">
        <x:f>V387-S387</x:f>
        <x:v>0</x:v>
      </x:c>
      <x:c r="X387" s="114" t="n">
        <x:f>IFERROR(W387/V387,0)</x:f>
        <x:v>0</x:v>
      </x:c>
      <x:c r="Y387" s="38" t="str">
        <x:v>Por unidad</x:v>
      </x:c>
      <x:c r="Z387" s="38" t="str">
        <x:f>IF(Y387="Botella / 3 instalaciones","Precio botella / 3",IF(Y387="Por rollo o metros proporcionales","Si se pasa rollo: rollo completo. Si se pasan metros: proporcional",Y387))</x:f>
        <x:v>Por unidad</x:v>
      </x:c>
      <x:c r="AA387" s="38" t="n">
        <x:v>1</x:v>
      </x:c>
      <x:c r="AB387" s="38" t="str"/>
      <x:c r="AC387" s="38" t="str"/>
      <x:c r="AD387" s="116" t="str">
        <x:v>2026-06-30</x:v>
      </x:c>
      <x:c r="AE387" s="38" t="str">
        <x:v>Sí</x:v>
      </x:c>
      <x:c r="AF387" s="38" t="str">
        <x:v>Revisar categoría antes de usar en cálculo automático.</x:v>
      </x:c>
    </x:row>
    <x:row r="388">
      <x:c r="A388" s="38" t="str">
        <x:v>MAT-0387</x:v>
      </x:c>
      <x:c r="B388" s="38" t="str">
        <x:v>Sí</x:v>
      </x:c>
      <x:c r="C388" s="38" t="str">
        <x:v>Sin clasificar</x:v>
      </x:c>
      <x:c r="D388" s="38" t="str"/>
      <x:c r="E388" s="38" t="str">
        <x:v>Base Rj45 Utp Cat. 6 1M Blanco</x:v>
      </x:c>
      <x:c r="F388" s="38" t="str">
        <x:v>BASE RJ45 UTP CAT. 6 1M BLANCO</x:v>
      </x:c>
      <x:c r="G388" s="38" t="str">
        <x:v>GEW-GW10423 / 910423</x:v>
      </x:c>
      <x:c r="H388" s="38" t="str">
        <x:v>Comercial Eléctrica Canarias, S.A.</x:v>
      </x:c>
      <x:c r="I388" s="38" t="str">
        <x:v>Factura 90624926</x:v>
      </x:c>
      <x:c r="J388" s="115" t="str">
        <x:v>15/02/2026</x:v>
      </x:c>
      <x:c r="K388" s="38" t="str">
        <x:v>Albarán 300.526/001 (04/02/2026)</x:v>
      </x:c>
      <x:c r="L388" s="38" t="n">
        <x:v>2</x:v>
      </x:c>
      <x:c r="M388" s="38" t="str">
        <x:v>Unidad</x:v>
      </x:c>
      <x:c r="N388" s="38" t="n">
        <x:v>1</x:v>
      </x:c>
      <x:c r="O388" s="38" t="str">
        <x:v>Unidad</x:v>
      </x:c>
      <x:c r="P388" s="99" t="n">
        <x:v>8.922</x:v>
      </x:c>
      <x:c r="Q388" s="114" t="n">
        <x:v>0</x:v>
      </x:c>
      <x:c r="R388" s="99" t="n">
        <x:v>17.84</x:v>
      </x:c>
      <x:c r="S388" s="99" t="n">
        <x:f>IFERROR(R388/L388,P388*(1-Q388))</x:f>
        <x:v>8.92</x:v>
      </x:c>
      <x:c r="T388" s="114" t="n">
        <x:v>0.07</x:v>
      </x:c>
      <x:c r="U388" s="99" t="n">
        <x:f>S388*(1+T388)</x:f>
        <x:v>9.544400000000001</x:v>
      </x:c>
      <x:c r="V388" s="99" t="n">
        <x:f>S388</x:f>
        <x:v>8.92</x:v>
      </x:c>
      <x:c r="W388" s="99" t="n">
        <x:f>V388-S388</x:f>
        <x:v>0</x:v>
      </x:c>
      <x:c r="X388" s="114" t="n">
        <x:f>IFERROR(W388/V388,0)</x:f>
        <x:v>0</x:v>
      </x:c>
      <x:c r="Y388" s="38" t="str">
        <x:v>Por unidad</x:v>
      </x:c>
      <x:c r="Z388" s="38" t="str">
        <x:f>IF(Y388="Botella / 3 instalaciones","Precio botella / 3",IF(Y388="Por rollo o metros proporcionales","Si se pasa rollo: rollo completo. Si se pasan metros: proporcional",Y388))</x:f>
        <x:v>Por unidad</x:v>
      </x:c>
      <x:c r="AA388" s="38" t="n">
        <x:v>1</x:v>
      </x:c>
      <x:c r="AB388" s="38" t="str"/>
      <x:c r="AC388" s="38" t="str"/>
      <x:c r="AD388" s="116" t="str">
        <x:v>2026-06-30</x:v>
      </x:c>
      <x:c r="AE388" s="38" t="str">
        <x:v>Sí</x:v>
      </x:c>
      <x:c r="AF388" s="38" t="str">
        <x:v>Revisar categoría antes de usar en cálculo automático.</x:v>
      </x:c>
    </x:row>
    <x:row r="389">
      <x:c r="A389" s="38" t="str">
        <x:v>MAT-0388</x:v>
      </x:c>
      <x:c r="B389" s="38" t="str">
        <x:v>Sí</x:v>
      </x:c>
      <x:c r="C389" s="38" t="str">
        <x:v>Sin clasificar</x:v>
      </x:c>
      <x:c r="D389" s="38" t="str"/>
      <x:c r="E389" s="38" t="str">
        <x:v>Placa One U.2+2+2H H Blanco Tb</x:v>
      </x:c>
      <x:c r="F389" s="38" t="str">
        <x:v>PLACA ONE U.2+2+2H H BLANCO TB</x:v>
      </x:c>
      <x:c r="G389" s="38" t="str">
        <x:v>GEW-GW16126TB / 91612600</x:v>
      </x:c>
      <x:c r="H389" s="38" t="str">
        <x:v>Comercial Eléctrica Canarias, S.A.</x:v>
      </x:c>
      <x:c r="I389" s="38" t="str">
        <x:v>Factura 90624926</x:v>
      </x:c>
      <x:c r="J389" s="115" t="str">
        <x:v>15/02/2026</x:v>
      </x:c>
      <x:c r="K389" s="38" t="str">
        <x:v>Albarán 300.526/001 (04/02/2026)</x:v>
      </x:c>
      <x:c r="L389" s="38" t="n">
        <x:v>1</x:v>
      </x:c>
      <x:c r="M389" s="38" t="str">
        <x:v>Unidad</x:v>
      </x:c>
      <x:c r="N389" s="38" t="n">
        <x:v>1</x:v>
      </x:c>
      <x:c r="O389" s="38" t="str">
        <x:v>Unidad</x:v>
      </x:c>
      <x:c r="P389" s="99" t="n">
        <x:v>3.363</x:v>
      </x:c>
      <x:c r="Q389" s="114" t="n">
        <x:v>0</x:v>
      </x:c>
      <x:c r="R389" s="99" t="n">
        <x:v>3.36</x:v>
      </x:c>
      <x:c r="S389" s="99" t="n">
        <x:f>IFERROR(R389/L389,P389*(1-Q389))</x:f>
        <x:v>3.36</x:v>
      </x:c>
      <x:c r="T389" s="114" t="n">
        <x:v>0.07</x:v>
      </x:c>
      <x:c r="U389" s="99" t="n">
        <x:f>S389*(1+T389)</x:f>
        <x:v>3.5952</x:v>
      </x:c>
      <x:c r="V389" s="99" t="n">
        <x:f>S389</x:f>
        <x:v>3.36</x:v>
      </x:c>
      <x:c r="W389" s="99" t="n">
        <x:f>V389-S389</x:f>
        <x:v>0</x:v>
      </x:c>
      <x:c r="X389" s="114" t="n">
        <x:f>IFERROR(W389/V389,0)</x:f>
        <x:v>0</x:v>
      </x:c>
      <x:c r="Y389" s="38" t="str">
        <x:v>Por unidad</x:v>
      </x:c>
      <x:c r="Z389" s="38" t="str">
        <x:f>IF(Y389="Botella / 3 instalaciones","Precio botella / 3",IF(Y389="Por rollo o metros proporcionales","Si se pasa rollo: rollo completo. Si se pasan metros: proporcional",Y389))</x:f>
        <x:v>Por unidad</x:v>
      </x:c>
      <x:c r="AA389" s="38" t="n">
        <x:v>1</x:v>
      </x:c>
      <x:c r="AB389" s="38" t="str"/>
      <x:c r="AC389" s="38" t="str"/>
      <x:c r="AD389" s="116" t="str">
        <x:v>2026-06-30</x:v>
      </x:c>
      <x:c r="AE389" s="38" t="str">
        <x:v>Sí</x:v>
      </x:c>
      <x:c r="AF389" s="38" t="str">
        <x:v>Revisar categoría antes de usar en cálculo automático.</x:v>
      </x:c>
    </x:row>
    <x:row r="390">
      <x:c r="A390" s="38" t="str">
        <x:v>MAT-0389</x:v>
      </x:c>
      <x:c r="B390" s="38" t="str">
        <x:v>Sí</x:v>
      </x:c>
      <x:c r="C390" s="38" t="str">
        <x:v>Soportes y fijaciones</x:v>
      </x:c>
      <x:c r="D390" s="38" t="str">
        <x:v>Soportes/amortiguadores</x:v>
      </x:c>
      <x:c r="E390" s="38" t="str">
        <x:v>Bolsa Amortiguacion A-35 50K</x:v>
      </x:c>
      <x:c r="F390" s="38" t="str">
        <x:v>BOLSA AMORTIGUACION A-35 50K</x:v>
      </x:c>
      <x:c r="G390" s="38" t="str">
        <x:v>ESC-AS02112 / 7011001</x:v>
      </x:c>
      <x:c r="H390" s="38" t="str">
        <x:v>Comercial Eléctrica Canarias, S.A.</x:v>
      </x:c>
      <x:c r="I390" s="38" t="str">
        <x:v>Factura 90624926</x:v>
      </x:c>
      <x:c r="J390" s="115" t="str">
        <x:v>15/02/2026</x:v>
      </x:c>
      <x:c r="K390" s="38" t="str">
        <x:v>Albarán 300.575/001 (06/02/2026)</x:v>
      </x:c>
      <x:c r="L390" s="38" t="n">
        <x:v>1</x:v>
      </x:c>
      <x:c r="M390" s="38" t="str">
        <x:v>Unidad</x:v>
      </x:c>
      <x:c r="N390" s="38" t="n">
        <x:v>1</x:v>
      </x:c>
      <x:c r="O390" s="38" t="str">
        <x:v>Unidad</x:v>
      </x:c>
      <x:c r="P390" s="99" t="n">
        <x:v>1.8</x:v>
      </x:c>
      <x:c r="Q390" s="114" t="n">
        <x:v>0</x:v>
      </x:c>
      <x:c r="R390" s="99" t="n">
        <x:v>1.8</x:v>
      </x:c>
      <x:c r="S390" s="99" t="n">
        <x:f>IFERROR(R390/L390,P390*(1-Q390))</x:f>
        <x:v>1.8</x:v>
      </x:c>
      <x:c r="T390" s="114" t="n">
        <x:v>0.07</x:v>
      </x:c>
      <x:c r="U390" s="99" t="n">
        <x:f>S390*(1+T390)</x:f>
        <x:v>1.9260000000000002</x:v>
      </x:c>
      <x:c r="V390" s="99" t="n">
        <x:f>S390</x:f>
        <x:v>1.8</x:v>
      </x:c>
      <x:c r="W390" s="99" t="n">
        <x:f>V390-S390</x:f>
        <x:v>0</x:v>
      </x:c>
      <x:c r="X390" s="114" t="n">
        <x:f>IFERROR(W390/V390,0)</x:f>
        <x:v>0</x:v>
      </x:c>
      <x:c r="Y390" s="38" t="str">
        <x:v>Por unidad</x:v>
      </x:c>
      <x:c r="Z390" s="38" t="str">
        <x:f>IF(Y390="Botella / 3 instalaciones","Precio botella / 3",IF(Y390="Por rollo o metros proporcionales","Si se pasa rollo: rollo completo. Si se pasan metros: proporcional",Y390))</x:f>
        <x:v>Por unidad</x:v>
      </x:c>
      <x:c r="AA390" s="38" t="n">
        <x:v>1</x:v>
      </x:c>
      <x:c r="AB390" s="38" t="str">
        <x:v>Sánchez Arencibia, S.A.</x:v>
      </x:c>
      <x:c r="AC390" s="38" t="str">
        <x:v>Media-Baja</x:v>
      </x:c>
      <x:c r="AD390" s="116" t="str">
        <x:v>2026-06-30</x:v>
      </x:c>
      <x:c r="AE390" s="38" t="str">
        <x:v>No</x:v>
      </x:c>
      <x:c r="AF390" s="38" t="str">
        <x:v>Comparativa orientativa: revisar ficha/medida antes de decidir proveedor.</x:v>
      </x:c>
    </x:row>
    <x:row r="391">
      <x:c r="A391" s="38" t="str">
        <x:v>MAT-0390</x:v>
      </x:c>
      <x:c r="B391" s="38" t="str">
        <x:v>Sí</x:v>
      </x:c>
      <x:c r="C391" s="38" t="str">
        <x:v>Canaleta</x:v>
      </x:c>
      <x:c r="D391" s="38" t="str">
        <x:v>Canaleta tramo</x:v>
      </x:c>
      <x:c r="E391" s="38" t="str">
        <x:v>Canal Adhesivo 32X16 Por Mts.</x:v>
      </x:c>
      <x:c r="F391" s="38" t="str">
        <x:v>CANAL ADHESIVO 32x16 por mts.</x:v>
      </x:c>
      <x:c r="G391" s="38" t="str">
        <x:v>EFA-10040 FBR / 72503</x:v>
      </x:c>
      <x:c r="H391" s="38" t="str">
        <x:v>Comercial Eléctrica Canarias, S.A.</x:v>
      </x:c>
      <x:c r="I391" s="38" t="str">
        <x:v>Factura 90624926</x:v>
      </x:c>
      <x:c r="J391" s="115" t="str">
        <x:v>15/02/2026</x:v>
      </x:c>
      <x:c r="K391" s="38" t="str">
        <x:v>Albarán 300.575/001 (06/02/2026)</x:v>
      </x:c>
      <x:c r="L391" s="38" t="n">
        <x:v>16</x:v>
      </x:c>
      <x:c r="M391" s="38" t="str">
        <x:v>Metro</x:v>
      </x:c>
      <x:c r="N391" s="38" t="n">
        <x:v>1</x:v>
      </x:c>
      <x:c r="O391" s="38" t="str">
        <x:v>Metro</x:v>
      </x:c>
      <x:c r="P391" s="99" t="n">
        <x:v>2.884</x:v>
      </x:c>
      <x:c r="Q391" s="114" t="n">
        <x:v>0</x:v>
      </x:c>
      <x:c r="R391" s="99" t="n">
        <x:v>46.14</x:v>
      </x:c>
      <x:c r="S391" s="99" t="n">
        <x:f>IFERROR(R391/L391,P391*(1-Q391))</x:f>
        <x:v>2.88375</x:v>
      </x:c>
      <x:c r="T391" s="114" t="n">
        <x:v>0.03</x:v>
      </x:c>
      <x:c r="U391" s="99" t="n">
        <x:f>S391*(1+T391)</x:f>
        <x:v>2.9702625</x:v>
      </x:c>
      <x:c r="V391" s="99" t="n">
        <x:f>S391</x:f>
        <x:v>2.88375</x:v>
      </x:c>
      <x:c r="W391" s="99" t="n">
        <x:f>V391-S391</x:f>
        <x:v>0</x:v>
      </x:c>
      <x:c r="X391" s="114" t="n">
        <x:f>IFERROR(W391/V391,0)</x:f>
        <x:v>0</x:v>
      </x:c>
      <x:c r="Y391" s="38" t="str">
        <x:v>Por metros</x:v>
      </x:c>
      <x:c r="Z391" s="38" t="str">
        <x:f>IF(Y391="Botella / 3 instalaciones","Precio botella / 3",IF(Y391="Por rollo o metros proporcionales","Si se pasa rollo: rollo completo. Si se pasan metros: proporcional",Y391))</x:f>
        <x:v>Por metros</x:v>
      </x:c>
      <x:c r="AA391" s="38" t="n">
        <x:v>1</x:v>
      </x:c>
      <x:c r="AB391" s="38" t="str"/>
      <x:c r="AC391" s="38" t="str"/>
      <x:c r="AD391" s="116" t="str">
        <x:v>2026-06-30</x:v>
      </x:c>
      <x:c r="AE391" s="38" t="str">
        <x:v>No</x:v>
      </x:c>
      <x:c r="AF391" s="38" t="str"/>
    </x:row>
    <x:row r="392">
      <x:c r="A392" s="38" t="str">
        <x:v>MAT-0391</x:v>
      </x:c>
      <x:c r="B392" s="38" t="str">
        <x:v>Sí</x:v>
      </x:c>
      <x:c r="C392" s="38" t="str">
        <x:v>Canaleta</x:v>
      </x:c>
      <x:c r="D392" s="38" t="str">
        <x:v>Accesorios canaleta</x:v>
      </x:c>
      <x:c r="E392" s="38" t="str">
        <x:v>Angulo Exterior Canal 32X16</x:v>
      </x:c>
      <x:c r="F392" s="38" t="str">
        <x:v>ANGULO EXTERIOR CANAL 32x16</x:v>
      </x:c>
      <x:c r="G392" s="38" t="str">
        <x:v>EFA-10046 ABR / 72573</x:v>
      </x:c>
      <x:c r="H392" s="38" t="str">
        <x:v>Comercial Eléctrica Canarias, S.A.</x:v>
      </x:c>
      <x:c r="I392" s="38" t="str">
        <x:v>Factura 90624926</x:v>
      </x:c>
      <x:c r="J392" s="115" t="str">
        <x:v>15/02/2026</x:v>
      </x:c>
      <x:c r="K392" s="38" t="str">
        <x:v>Albarán 300.575/001 (06/02/2026)</x:v>
      </x:c>
      <x:c r="L392" s="38" t="n">
        <x:v>4</x:v>
      </x:c>
      <x:c r="M392" s="38" t="str">
        <x:v>Unidad</x:v>
      </x:c>
      <x:c r="N392" s="38" t="n">
        <x:v>1</x:v>
      </x:c>
      <x:c r="O392" s="38" t="str">
        <x:v>Unidad</x:v>
      </x:c>
      <x:c r="P392" s="99" t="n">
        <x:v>0.791</x:v>
      </x:c>
      <x:c r="Q392" s="114" t="n">
        <x:v>0</x:v>
      </x:c>
      <x:c r="R392" s="99" t="n">
        <x:v>3.16</x:v>
      </x:c>
      <x:c r="S392" s="99" t="n">
        <x:f>IFERROR(R392/L392,P392*(1-Q392))</x:f>
        <x:v>0.79</x:v>
      </x:c>
      <x:c r="T392" s="114" t="n">
        <x:v>0.03</x:v>
      </x:c>
      <x:c r="U392" s="99" t="n">
        <x:f>S392*(1+T392)</x:f>
        <x:v>0.8137000000000001</x:v>
      </x:c>
      <x:c r="V392" s="99" t="n">
        <x:f>S392</x:f>
        <x:v>0.79</x:v>
      </x:c>
      <x:c r="W392" s="99" t="n">
        <x:f>V392-S392</x:f>
        <x:v>0</x:v>
      </x:c>
      <x:c r="X392" s="114" t="n">
        <x:f>IFERROR(W392/V392,0)</x:f>
        <x:v>0</x:v>
      </x:c>
      <x:c r="Y392" s="38" t="str">
        <x:v>Por unidad</x:v>
      </x:c>
      <x:c r="Z392" s="38" t="str">
        <x:f>IF(Y392="Botella / 3 instalaciones","Precio botella / 3",IF(Y392="Por rollo o metros proporcionales","Si se pasa rollo: rollo completo. Si se pasan metros: proporcional",Y392))</x:f>
        <x:v>Por unidad</x:v>
      </x:c>
      <x:c r="AA392" s="38" t="n">
        <x:v>1</x:v>
      </x:c>
      <x:c r="AB392" s="38" t="str"/>
      <x:c r="AC392" s="38" t="str"/>
      <x:c r="AD392" s="116" t="str">
        <x:v>2026-06-30</x:v>
      </x:c>
      <x:c r="AE392" s="38" t="str">
        <x:v>No</x:v>
      </x:c>
      <x:c r="AF392" s="38" t="str"/>
    </x:row>
    <x:row r="393">
      <x:c r="A393" s="38" t="str">
        <x:v>MAT-0392</x:v>
      </x:c>
      <x:c r="B393" s="38" t="str">
        <x:v>Sí</x:v>
      </x:c>
      <x:c r="C393" s="38" t="str">
        <x:v>Canaleta</x:v>
      </x:c>
      <x:c r="D393" s="38" t="str">
        <x:v>Accesorios canaleta</x:v>
      </x:c>
      <x:c r="E393" s="38" t="str">
        <x:v>Angulo Interior Canal 32X16</x:v>
      </x:c>
      <x:c r="F393" s="38" t="str">
        <x:v>ANGULO INTERIOR CANAL 32x16</x:v>
      </x:c>
      <x:c r="G393" s="38" t="str">
        <x:v>EFA-10042 ABR / 72533</x:v>
      </x:c>
      <x:c r="H393" s="38" t="str">
        <x:v>Comercial Eléctrica Canarias, S.A.</x:v>
      </x:c>
      <x:c r="I393" s="38" t="str">
        <x:v>Factura 90624926</x:v>
      </x:c>
      <x:c r="J393" s="115" t="str">
        <x:v>15/02/2026</x:v>
      </x:c>
      <x:c r="K393" s="38" t="str">
        <x:v>Albarán 300.575/001 (06/02/2026)</x:v>
      </x:c>
      <x:c r="L393" s="38" t="n">
        <x:v>2</x:v>
      </x:c>
      <x:c r="M393" s="38" t="str">
        <x:v>Unidad</x:v>
      </x:c>
      <x:c r="N393" s="38" t="n">
        <x:v>1</x:v>
      </x:c>
      <x:c r="O393" s="38" t="str">
        <x:v>Unidad</x:v>
      </x:c>
      <x:c r="P393" s="99" t="n">
        <x:v>0.791</x:v>
      </x:c>
      <x:c r="Q393" s="114" t="n">
        <x:v>0</x:v>
      </x:c>
      <x:c r="R393" s="99" t="n">
        <x:v>1.58</x:v>
      </x:c>
      <x:c r="S393" s="99" t="n">
        <x:f>IFERROR(R393/L393,P393*(1-Q393))</x:f>
        <x:v>0.79</x:v>
      </x:c>
      <x:c r="T393" s="114" t="n">
        <x:v>0.03</x:v>
      </x:c>
      <x:c r="U393" s="99" t="n">
        <x:f>S393*(1+T393)</x:f>
        <x:v>0.8137000000000001</x:v>
      </x:c>
      <x:c r="V393" s="99" t="n">
        <x:f>S393</x:f>
        <x:v>0.79</x:v>
      </x:c>
      <x:c r="W393" s="99" t="n">
        <x:f>V393-S393</x:f>
        <x:v>0</x:v>
      </x:c>
      <x:c r="X393" s="114" t="n">
        <x:f>IFERROR(W393/V393,0)</x:f>
        <x:v>0</x:v>
      </x:c>
      <x:c r="Y393" s="38" t="str">
        <x:v>Por unidad</x:v>
      </x:c>
      <x:c r="Z393" s="38" t="str">
        <x:f>IF(Y393="Botella / 3 instalaciones","Precio botella / 3",IF(Y393="Por rollo o metros proporcionales","Si se pasa rollo: rollo completo. Si se pasan metros: proporcional",Y393))</x:f>
        <x:v>Por unidad</x:v>
      </x:c>
      <x:c r="AA393" s="38" t="n">
        <x:v>1</x:v>
      </x:c>
      <x:c r="AB393" s="38" t="str"/>
      <x:c r="AC393" s="38" t="str"/>
      <x:c r="AD393" s="116" t="str">
        <x:v>2026-06-30</x:v>
      </x:c>
      <x:c r="AE393" s="38" t="str">
        <x:v>No</x:v>
      </x:c>
      <x:c r="AF393" s="38" t="str"/>
    </x:row>
    <x:row r="394">
      <x:c r="A394" s="38" t="str">
        <x:v>MAT-0393</x:v>
      </x:c>
      <x:c r="B394" s="38" t="str">
        <x:v>Sí</x:v>
      </x:c>
      <x:c r="C394" s="38" t="str">
        <x:v>Canaleta</x:v>
      </x:c>
      <x:c r="D394" s="38" t="str">
        <x:v>Accesorios canaleta</x:v>
      </x:c>
      <x:c r="E394" s="38" t="str">
        <x:v>Angulo Plano Canal 32X16</x:v>
      </x:c>
      <x:c r="F394" s="38" t="str">
        <x:v>ANGULO PLANO CANAL 32x16</x:v>
      </x:c>
      <x:c r="G394" s="38" t="str">
        <x:v>EFA-10043 ABR / 72543</x:v>
      </x:c>
      <x:c r="H394" s="38" t="str">
        <x:v>Comercial Eléctrica Canarias, S.A.</x:v>
      </x:c>
      <x:c r="I394" s="38" t="str">
        <x:v>Factura 90624926</x:v>
      </x:c>
      <x:c r="J394" s="115" t="str">
        <x:v>15/02/2026</x:v>
      </x:c>
      <x:c r="K394" s="38" t="str">
        <x:v>Albarán 300.575/001 (06/02/2026)</x:v>
      </x:c>
      <x:c r="L394" s="38" t="n">
        <x:v>4</x:v>
      </x:c>
      <x:c r="M394" s="38" t="str">
        <x:v>Unidad</x:v>
      </x:c>
      <x:c r="N394" s="38" t="n">
        <x:v>1</x:v>
      </x:c>
      <x:c r="O394" s="38" t="str">
        <x:v>Unidad</x:v>
      </x:c>
      <x:c r="P394" s="99" t="n">
        <x:v>0.791</x:v>
      </x:c>
      <x:c r="Q394" s="114" t="n">
        <x:v>0</x:v>
      </x:c>
      <x:c r="R394" s="99" t="n">
        <x:v>3.16</x:v>
      </x:c>
      <x:c r="S394" s="99" t="n">
        <x:f>IFERROR(R394/L394,P394*(1-Q394))</x:f>
        <x:v>0.79</x:v>
      </x:c>
      <x:c r="T394" s="114" t="n">
        <x:v>0.03</x:v>
      </x:c>
      <x:c r="U394" s="99" t="n">
        <x:f>S394*(1+T394)</x:f>
        <x:v>0.8137000000000001</x:v>
      </x:c>
      <x:c r="V394" s="99" t="n">
        <x:f>S394</x:f>
        <x:v>0.79</x:v>
      </x:c>
      <x:c r="W394" s="99" t="n">
        <x:f>V394-S394</x:f>
        <x:v>0</x:v>
      </x:c>
      <x:c r="X394" s="114" t="n">
        <x:f>IFERROR(W394/V394,0)</x:f>
        <x:v>0</x:v>
      </x:c>
      <x:c r="Y394" s="38" t="str">
        <x:v>Por unidad</x:v>
      </x:c>
      <x:c r="Z394" s="38" t="str">
        <x:f>IF(Y394="Botella / 3 instalaciones","Precio botella / 3",IF(Y394="Por rollo o metros proporcionales","Si se pasa rollo: rollo completo. Si se pasan metros: proporcional",Y394))</x:f>
        <x:v>Por unidad</x:v>
      </x:c>
      <x:c r="AA394" s="38" t="n">
        <x:v>1</x:v>
      </x:c>
      <x:c r="AB394" s="38" t="str"/>
      <x:c r="AC394" s="38" t="str"/>
      <x:c r="AD394" s="116" t="str">
        <x:v>2026-06-30</x:v>
      </x:c>
      <x:c r="AE394" s="38" t="str">
        <x:v>No</x:v>
      </x:c>
      <x:c r="AF394" s="38" t="str"/>
    </x:row>
    <x:row r="395">
      <x:c r="A395" s="38" t="str">
        <x:v>MAT-0394</x:v>
      </x:c>
      <x:c r="B395" s="38" t="str">
        <x:v>Sí</x:v>
      </x:c>
      <x:c r="C395" s="38" t="str">
        <x:v>Sin clasificar</x:v>
      </x:c>
      <x:c r="D395" s="38" t="str"/>
      <x:c r="E395" s="38" t="str">
        <x:v>Pila Cr2 3V Varta</x:v>
      </x:c>
      <x:c r="F395" s="38" t="str">
        <x:v>PILA CR2 3V VARTA</x:v>
      </x:c>
      <x:c r="G395" s="38" t="str">
        <x:v>ELK-38627 / 6667</x:v>
      </x:c>
      <x:c r="H395" s="38" t="str">
        <x:v>Comercial Eléctrica Canarias, S.A.</x:v>
      </x:c>
      <x:c r="I395" s="38" t="str">
        <x:v>Factura 90161426</x:v>
      </x:c>
      <x:c r="J395" s="115" t="str">
        <x:v>15/01/2026</x:v>
      </x:c>
      <x:c r="K395" s="38" t="str">
        <x:v>Albarán 120.043/012 (07/01/2026)</x:v>
      </x:c>
      <x:c r="L395" s="38" t="n">
        <x:v>1</x:v>
      </x:c>
      <x:c r="M395" s="38" t="str">
        <x:v>Unidad</x:v>
      </x:c>
      <x:c r="N395" s="38" t="n">
        <x:v>1</x:v>
      </x:c>
      <x:c r="O395" s="38" t="str">
        <x:v>Unidad</x:v>
      </x:c>
      <x:c r="P395" s="99" t="n">
        <x:v>3.495</x:v>
      </x:c>
      <x:c r="Q395" s="114" t="n">
        <x:v>0</x:v>
      </x:c>
      <x:c r="R395" s="99" t="n">
        <x:v>3.51</x:v>
      </x:c>
      <x:c r="S395" s="99" t="n">
        <x:f>IFERROR(R395/L395,P395*(1-Q395))</x:f>
        <x:v>3.51</x:v>
      </x:c>
      <x:c r="T395" s="114" t="n">
        <x:v>0.07</x:v>
      </x:c>
      <x:c r="U395" s="99" t="n">
        <x:f>S395*(1+T395)</x:f>
        <x:v>3.7557</x:v>
      </x:c>
      <x:c r="V395" s="99" t="n">
        <x:f>S395</x:f>
        <x:v>3.51</x:v>
      </x:c>
      <x:c r="W395" s="99" t="n">
        <x:f>V395-S395</x:f>
        <x:v>0</x:v>
      </x:c>
      <x:c r="X395" s="114" t="n">
        <x:f>IFERROR(W395/V395,0)</x:f>
        <x:v>0</x:v>
      </x:c>
      <x:c r="Y395" s="38" t="str">
        <x:v>Por unidad</x:v>
      </x:c>
      <x:c r="Z395" s="38" t="str">
        <x:f>IF(Y395="Botella / 3 instalaciones","Precio botella / 3",IF(Y395="Por rollo o metros proporcionales","Si se pasa rollo: rollo completo. Si se pasan metros: proporcional",Y395))</x:f>
        <x:v>Por unidad</x:v>
      </x:c>
      <x:c r="AA395" s="38" t="n">
        <x:v>1</x:v>
      </x:c>
      <x:c r="AB395" s="38" t="str"/>
      <x:c r="AC395" s="38" t="str"/>
      <x:c r="AD395" s="116" t="str">
        <x:v>2026-06-30</x:v>
      </x:c>
      <x:c r="AE395" s="38" t="str">
        <x:v>Sí</x:v>
      </x:c>
      <x:c r="AF395" s="38" t="str">
        <x:v>Revisar categoría antes de usar en cálculo automático.</x:v>
      </x:c>
    </x:row>
    <x:row r="396">
      <x:c r="A396" s="38" t="str">
        <x:v>MAT-0395</x:v>
      </x:c>
      <x:c r="B396" s="38" t="str">
        <x:v>Sí</x:v>
      </x:c>
      <x:c r="C396" s="38" t="str">
        <x:v>Electricidad</x:v>
      </x:c>
      <x:c r="D396" s="38" t="str">
        <x:v>Cable eléctrico</x:v>
      </x:c>
      <x:c r="E396" s="38" t="str">
        <x:v>Cable Rz1-K Cpr 0.6/1Kv 4G1.5</x:v>
      </x:c>
      <x:c r="F396" s="38" t="str">
        <x:v>CABLE RZ1-K CPR 0.6/1KV 4G1.5</x:v>
      </x:c>
      <x:c r="G396" s="38" t="str">
        <x:v>CABLE / 5551446</x:v>
      </x:c>
      <x:c r="H396" s="38" t="str">
        <x:v>Comercial Eléctrica Canarias, S.A.</x:v>
      </x:c>
      <x:c r="I396" s="38" t="str">
        <x:v>Factura 90161426</x:v>
      </x:c>
      <x:c r="J396" s="115" t="str">
        <x:v>15/01/2026</x:v>
      </x:c>
      <x:c r="K396" s="38" t="str">
        <x:v>Albarán 130.063/013 (08/01/2026)</x:v>
      </x:c>
      <x:c r="L396" s="38" t="n">
        <x:v>60</x:v>
      </x:c>
      <x:c r="M396" s="38" t="str">
        <x:v>Metro</x:v>
      </x:c>
      <x:c r="N396" s="38" t="n">
        <x:v>1</x:v>
      </x:c>
      <x:c r="O396" s="38" t="str">
        <x:v>Metro</x:v>
      </x:c>
      <x:c r="P396" s="99" t="n">
        <x:v>1.129</x:v>
      </x:c>
      <x:c r="Q396" s="114" t="n">
        <x:v>0</x:v>
      </x:c>
      <x:c r="R396" s="99" t="n">
        <x:v>67.74</x:v>
      </x:c>
      <x:c r="S396" s="99" t="n">
        <x:f>IFERROR(R396/L396,P396*(1-Q396))</x:f>
        <x:v>1.129</x:v>
      </x:c>
      <x:c r="T396" s="114" t="n">
        <x:v>0.07</x:v>
      </x:c>
      <x:c r="U396" s="99" t="n">
        <x:f>S396*(1+T396)</x:f>
        <x:v>1.2080300000000002</x:v>
      </x:c>
      <x:c r="V396" s="99" t="n">
        <x:f>S396</x:f>
        <x:v>1.129</x:v>
      </x:c>
      <x:c r="W396" s="99" t="n">
        <x:f>V396-S396</x:f>
        <x:v>0</x:v>
      </x:c>
      <x:c r="X396" s="114" t="n">
        <x:f>IFERROR(W396/V396,0)</x:f>
        <x:v>0</x:v>
      </x:c>
      <x:c r="Y396" s="38" t="str">
        <x:v>Por metros</x:v>
      </x:c>
      <x:c r="Z396" s="38" t="str">
        <x:f>IF(Y396="Botella / 3 instalaciones","Precio botella / 3",IF(Y396="Por rollo o metros proporcionales","Si se pasa rollo: rollo completo. Si se pasan metros: proporcional",Y396))</x:f>
        <x:v>Por metros</x:v>
      </x:c>
      <x:c r="AA396" s="38" t="n">
        <x:v>1</x:v>
      </x:c>
      <x:c r="AB396" s="38" t="str"/>
      <x:c r="AC396" s="38" t="str"/>
      <x:c r="AD396" s="116" t="str">
        <x:v>2026-06-30</x:v>
      </x:c>
      <x:c r="AE396" s="38" t="str">
        <x:v>No</x:v>
      </x:c>
      <x:c r="AF396" s="38" t="str"/>
    </x:row>
    <x:row r="397">
      <x:c r="A397" s="38" t="str">
        <x:v>MAT-0396</x:v>
      </x:c>
      <x:c r="B397" s="38" t="str">
        <x:v>Sí</x:v>
      </x:c>
      <x:c r="C397" s="38" t="str">
        <x:v>Sin clasificar</x:v>
      </x:c>
      <x:c r="D397" s="38" t="str"/>
      <x:c r="E397" s="38" t="str">
        <x:v>Detector Mov.Superf.360°</x:v>
      </x:c>
      <x:c r="F397" s="38" t="str">
        <x:v>DETECTOR MOV.SUPERF.360°</x:v>
      </x:c>
      <x:c r="G397" s="38" t="str">
        <x:v>XIN-SEKKYUR C / 33006</x:v>
      </x:c>
      <x:c r="H397" s="38" t="str">
        <x:v>Comercial Eléctrica Canarias, S.A.</x:v>
      </x:c>
      <x:c r="I397" s="38" t="str">
        <x:v>Factura 90161426</x:v>
      </x:c>
      <x:c r="J397" s="115" t="str">
        <x:v>15/01/2026</x:v>
      </x:c>
      <x:c r="K397" s="38" t="str">
        <x:v>Albarán 130.085/013 (09/01/2026)</x:v>
      </x:c>
      <x:c r="L397" s="38" t="n">
        <x:v>12</x:v>
      </x:c>
      <x:c r="M397" s="38" t="str">
        <x:v>Unidad</x:v>
      </x:c>
      <x:c r="N397" s="38" t="n">
        <x:v>1</x:v>
      </x:c>
      <x:c r="O397" s="38" t="str">
        <x:v>Unidad</x:v>
      </x:c>
      <x:c r="P397" s="99" t="n">
        <x:v>9.673</x:v>
      </x:c>
      <x:c r="Q397" s="114" t="n">
        <x:v>0</x:v>
      </x:c>
      <x:c r="R397" s="99" t="n">
        <x:v>116.08</x:v>
      </x:c>
      <x:c r="S397" s="99" t="n">
        <x:f>IFERROR(R397/L397,P397*(1-Q397))</x:f>
        <x:v>9.673333333333334</x:v>
      </x:c>
      <x:c r="T397" s="114" t="n">
        <x:v>0.07</x:v>
      </x:c>
      <x:c r="U397" s="99" t="n">
        <x:f>S397*(1+T397)</x:f>
        <x:v>10.350466666666668</x:v>
      </x:c>
      <x:c r="V397" s="99" t="n">
        <x:f>S397</x:f>
        <x:v>9.673333333333334</x:v>
      </x:c>
      <x:c r="W397" s="99" t="n">
        <x:f>V397-S397</x:f>
        <x:v>0</x:v>
      </x:c>
      <x:c r="X397" s="114" t="n">
        <x:f>IFERROR(W397/V397,0)</x:f>
        <x:v>0</x:v>
      </x:c>
      <x:c r="Y397" s="38" t="str">
        <x:v>Por unidad</x:v>
      </x:c>
      <x:c r="Z397" s="38" t="str">
        <x:f>IF(Y397="Botella / 3 instalaciones","Precio botella / 3",IF(Y397="Por rollo o metros proporcionales","Si se pasa rollo: rollo completo. Si se pasan metros: proporcional",Y397))</x:f>
        <x:v>Por unidad</x:v>
      </x:c>
      <x:c r="AA397" s="38" t="n">
        <x:v>1</x:v>
      </x:c>
      <x:c r="AB397" s="38" t="str"/>
      <x:c r="AC397" s="38" t="str"/>
      <x:c r="AD397" s="116" t="str">
        <x:v>2026-06-30</x:v>
      </x:c>
      <x:c r="AE397" s="38" t="str">
        <x:v>Sí</x:v>
      </x:c>
      <x:c r="AF397" s="38" t="str">
        <x:v>Revisar categoría antes de usar en cálculo automático.</x:v>
      </x:c>
    </x:row>
    <x:row r="398">
      <x:c r="A398" s="38" t="str">
        <x:v>MAT-0397</x:v>
      </x:c>
      <x:c r="B398" s="38" t="str">
        <x:v>Sí</x:v>
      </x:c>
      <x:c r="C398" s="38" t="str">
        <x:v>Pequeño material</x:v>
      </x:c>
      <x:c r="D398" s="38" t="str">
        <x:v>Consumible</x:v>
      </x:c>
      <x:c r="E398" s="38" t="str">
        <x:v>Cinta Aislante N10 33X25 Blanc</x:v>
      </x:c>
      <x:c r="F398" s="38" t="str">
        <x:v>CINTA AISLANTE N10 33x25 BLANC</x:v>
      </x:c>
      <x:c r="G398" s="38" t="str">
        <x:v>PLY-5538 / 3088</x:v>
      </x:c>
      <x:c r="H398" s="38" t="str">
        <x:v>Comercial Eléctrica Canarias, S.A.</x:v>
      </x:c>
      <x:c r="I398" s="38" t="str">
        <x:v>Factura 90161426</x:v>
      </x:c>
      <x:c r="J398" s="115" t="str">
        <x:v>15/01/2026</x:v>
      </x:c>
      <x:c r="K398" s="38" t="str">
        <x:v>Albarán 130.085/013 (09/01/2026)</x:v>
      </x:c>
      <x:c r="L398" s="38" t="n">
        <x:v>2</x:v>
      </x:c>
      <x:c r="M398" s="38" t="str">
        <x:v>Unidad</x:v>
      </x:c>
      <x:c r="N398" s="38" t="n">
        <x:v>1</x:v>
      </x:c>
      <x:c r="O398" s="38" t="str">
        <x:v>Unidad</x:v>
      </x:c>
      <x:c r="P398" s="99" t="n">
        <x:v>2.18</x:v>
      </x:c>
      <x:c r="Q398" s="114" t="n">
        <x:v>0</x:v>
      </x:c>
      <x:c r="R398" s="99" t="n">
        <x:v>4.36</x:v>
      </x:c>
      <x:c r="S398" s="99" t="n">
        <x:f>IFERROR(R398/L398,P398*(1-Q398))</x:f>
        <x:v>2.18</x:v>
      </x:c>
      <x:c r="T398" s="114" t="n">
        <x:v>0.03</x:v>
      </x:c>
      <x:c r="U398" s="99" t="n">
        <x:f>S398*(1+T398)</x:f>
        <x:v>2.2454</x:v>
      </x:c>
      <x:c r="V398" s="99" t="n">
        <x:f>S398</x:f>
        <x:v>2.18</x:v>
      </x:c>
      <x:c r="W398" s="99" t="n">
        <x:f>V398-S398</x:f>
        <x:v>0</x:v>
      </x:c>
      <x:c r="X398" s="114" t="n">
        <x:f>IFERROR(W398/V398,0)</x:f>
        <x:v>0</x:v>
      </x:c>
      <x:c r="Y398" s="38" t="str">
        <x:v>Por unidad</x:v>
      </x:c>
      <x:c r="Z398" s="38" t="str">
        <x:f>IF(Y398="Botella / 3 instalaciones","Precio botella / 3",IF(Y398="Por rollo o metros proporcionales","Si se pasa rollo: rollo completo. Si se pasan metros: proporcional",Y398))</x:f>
        <x:v>Por unidad</x:v>
      </x:c>
      <x:c r="AA398" s="38" t="n">
        <x:v>1</x:v>
      </x:c>
      <x:c r="AB398" s="38" t="str"/>
      <x:c r="AC398" s="38" t="str"/>
      <x:c r="AD398" s="116" t="str">
        <x:v>2026-06-30</x:v>
      </x:c>
      <x:c r="AE398" s="38" t="str">
        <x:v>No</x:v>
      </x:c>
      <x:c r="AF398" s="38" t="str"/>
    </x:row>
    <x:row r="399">
      <x:c r="A399" s="38" t="str">
        <x:v>MAT-0398</x:v>
      </x:c>
      <x:c r="B399" s="38" t="str">
        <x:v>Sí</x:v>
      </x:c>
      <x:c r="C399" s="38" t="str">
        <x:v>Sin clasificar</x:v>
      </x:c>
      <x:c r="D399" s="38" t="str"/>
      <x:c r="E399" s="38" t="str">
        <x:v>Caja S/Pared 2 Mod Ip40</x:v>
      </x:c>
      <x:c r="F399" s="38" t="str">
        <x:v>CAJA S/PARED 2 MOD IP40</x:v>
      </x:c>
      <x:c r="G399" s="38" t="str">
        <x:v>GEW-GW16502 / 916502</x:v>
      </x:c>
      <x:c r="H399" s="38" t="str">
        <x:v>Comercial Eléctrica Canarias, S.A.</x:v>
      </x:c>
      <x:c r="I399" s="38" t="str">
        <x:v>Factura 90161426</x:v>
      </x:c>
      <x:c r="J399" s="115" t="str">
        <x:v>15/01/2026</x:v>
      </x:c>
      <x:c r="K399" s="38" t="str">
        <x:v>Albarán 130.085/013 (09/01/2026)</x:v>
      </x:c>
      <x:c r="L399" s="38" t="n">
        <x:v>1</x:v>
      </x:c>
      <x:c r="M399" s="38" t="str">
        <x:v>Unidad</x:v>
      </x:c>
      <x:c r="N399" s="38" t="n">
        <x:v>1</x:v>
      </x:c>
      <x:c r="O399" s="38" t="str">
        <x:v>Unidad</x:v>
      </x:c>
      <x:c r="P399" s="99" t="n">
        <x:v>1.75</x:v>
      </x:c>
      <x:c r="Q399" s="114" t="n">
        <x:v>0</x:v>
      </x:c>
      <x:c r="R399" s="99" t="n">
        <x:v>1.75</x:v>
      </x:c>
      <x:c r="S399" s="99" t="n">
        <x:f>IFERROR(R399/L399,P399*(1-Q399))</x:f>
        <x:v>1.75</x:v>
      </x:c>
      <x:c r="T399" s="114" t="n">
        <x:v>0.07</x:v>
      </x:c>
      <x:c r="U399" s="99" t="n">
        <x:f>S399*(1+T399)</x:f>
        <x:v>1.8725</x:v>
      </x:c>
      <x:c r="V399" s="99" t="n">
        <x:f>S399</x:f>
        <x:v>1.75</x:v>
      </x:c>
      <x:c r="W399" s="99" t="n">
        <x:f>V399-S399</x:f>
        <x:v>0</x:v>
      </x:c>
      <x:c r="X399" s="114" t="n">
        <x:f>IFERROR(W399/V399,0)</x:f>
        <x:v>0</x:v>
      </x:c>
      <x:c r="Y399" s="38" t="str">
        <x:v>Por unidad</x:v>
      </x:c>
      <x:c r="Z399" s="38" t="str">
        <x:f>IF(Y399="Botella / 3 instalaciones","Precio botella / 3",IF(Y399="Por rollo o metros proporcionales","Si se pasa rollo: rollo completo. Si se pasan metros: proporcional",Y399))</x:f>
        <x:v>Por unidad</x:v>
      </x:c>
      <x:c r="AA399" s="38" t="n">
        <x:v>1</x:v>
      </x:c>
      <x:c r="AB399" s="38" t="str"/>
      <x:c r="AC399" s="38" t="str"/>
      <x:c r="AD399" s="116" t="str">
        <x:v>2026-06-30</x:v>
      </x:c>
      <x:c r="AE399" s="38" t="str">
        <x:v>Sí</x:v>
      </x:c>
      <x:c r="AF399" s="38" t="str">
        <x:v>Revisar categoría antes de usar en cálculo automático.</x:v>
      </x:c>
    </x:row>
    <x:row r="400">
      <x:c r="A400" s="38" t="str">
        <x:v>MAT-0399</x:v>
      </x:c>
      <x:c r="B400" s="38" t="str">
        <x:v>Sí</x:v>
      </x:c>
      <x:c r="C400" s="38" t="str">
        <x:v>Sin clasificar</x:v>
      </x:c>
      <x:c r="D400" s="38" t="str"/>
      <x:c r="E400" s="38" t="str">
        <x:v>Doble Puls. 1P 1Na 16A.</x:v>
      </x:c>
      <x:c r="F400" s="38" t="str">
        <x:v>DOBLE PULS. 1P 1NA 16A.</x:v>
      </x:c>
      <x:c r="G400" s="38" t="str">
        <x:v>GEW-GW10160F / 910160</x:v>
      </x:c>
      <x:c r="H400" s="38" t="str">
        <x:v>Comercial Eléctrica Canarias, S.A.</x:v>
      </x:c>
      <x:c r="I400" s="38" t="str">
        <x:v>Factura 90161426</x:v>
      </x:c>
      <x:c r="J400" s="115" t="str">
        <x:v>15/01/2026</x:v>
      </x:c>
      <x:c r="K400" s="38" t="str">
        <x:v>Albarán 130.085/013 (09/01/2026)</x:v>
      </x:c>
      <x:c r="L400" s="38" t="n">
        <x:v>1</x:v>
      </x:c>
      <x:c r="M400" s="38" t="str">
        <x:v>Unidad</x:v>
      </x:c>
      <x:c r="N400" s="38" t="n">
        <x:v>1</x:v>
      </x:c>
      <x:c r="O400" s="38" t="str">
        <x:v>Unidad</x:v>
      </x:c>
      <x:c r="P400" s="99" t="n">
        <x:v>9.826</x:v>
      </x:c>
      <x:c r="Q400" s="114" t="n">
        <x:v>0</x:v>
      </x:c>
      <x:c r="R400" s="99" t="n">
        <x:v>9.83</x:v>
      </x:c>
      <x:c r="S400" s="99" t="n">
        <x:f>IFERROR(R400/L400,P400*(1-Q400))</x:f>
        <x:v>9.83</x:v>
      </x:c>
      <x:c r="T400" s="114" t="n">
        <x:v>0.07</x:v>
      </x:c>
      <x:c r="U400" s="99" t="n">
        <x:f>S400*(1+T400)</x:f>
        <x:v>10.5181</x:v>
      </x:c>
      <x:c r="V400" s="99" t="n">
        <x:f>S400</x:f>
        <x:v>9.83</x:v>
      </x:c>
      <x:c r="W400" s="99" t="n">
        <x:f>V400-S400</x:f>
        <x:v>0</x:v>
      </x:c>
      <x:c r="X400" s="114" t="n">
        <x:f>IFERROR(W400/V400,0)</x:f>
        <x:v>0</x:v>
      </x:c>
      <x:c r="Y400" s="38" t="str">
        <x:v>Por unidad</x:v>
      </x:c>
      <x:c r="Z400" s="38" t="str">
        <x:f>IF(Y400="Botella / 3 instalaciones","Precio botella / 3",IF(Y400="Por rollo o metros proporcionales","Si se pasa rollo: rollo completo. Si se pasan metros: proporcional",Y400))</x:f>
        <x:v>Por unidad</x:v>
      </x:c>
      <x:c r="AA400" s="38" t="n">
        <x:v>1</x:v>
      </x:c>
      <x:c r="AB400" s="38" t="str"/>
      <x:c r="AC400" s="38" t="str"/>
      <x:c r="AD400" s="116" t="str">
        <x:v>2026-06-30</x:v>
      </x:c>
      <x:c r="AE400" s="38" t="str">
        <x:v>Sí</x:v>
      </x:c>
      <x:c r="AF400" s="38" t="str">
        <x:v>Revisar categoría antes de usar en cálculo automático.</x:v>
      </x:c>
    </x:row>
    <x:row r="401">
      <x:c r="A401" s="38" t="str">
        <x:v>MAT-0400</x:v>
      </x:c>
      <x:c r="B401" s="38" t="str">
        <x:v>Sí</x:v>
      </x:c>
      <x:c r="C401" s="38" t="str">
        <x:v>Servicio</x:v>
      </x:c>
      <x:c r="D401" s="38" t="str">
        <x:v>Servicio/Desplazamiento</x:v>
      </x:c>
      <x:c r="E401" s="38" t="str">
        <x:v>Portero A1 1Viv.Convencional</x:v>
      </x:c>
      <x:c r="F401" s="38" t="str">
        <x:v>PORTERO A1 1Viv.CONVENCIONAL</x:v>
      </x:c>
      <x:c r="G401" s="38" t="str">
        <x:v>LEG-375011 / 80316</x:v>
      </x:c>
      <x:c r="H401" s="38" t="str">
        <x:v>Comercial Eléctrica Canarias, S.A.</x:v>
      </x:c>
      <x:c r="I401" s="38" t="str">
        <x:v>Factura 90161426</x:v>
      </x:c>
      <x:c r="J401" s="115" t="str">
        <x:v>15/01/2026</x:v>
      </x:c>
      <x:c r="K401" s="38" t="str">
        <x:v>Albarán 130.085/013 (09/01/2026)</x:v>
      </x:c>
      <x:c r="L401" s="38" t="n">
        <x:v>1</x:v>
      </x:c>
      <x:c r="M401" s="38" t="str">
        <x:v>Unidad</x:v>
      </x:c>
      <x:c r="N401" s="38" t="n">
        <x:v>1</x:v>
      </x:c>
      <x:c r="O401" s="38" t="str">
        <x:v>Unidad</x:v>
      </x:c>
      <x:c r="P401" s="99" t="n">
        <x:v>47.895</x:v>
      </x:c>
      <x:c r="Q401" s="114" t="n">
        <x:v>0</x:v>
      </x:c>
      <x:c r="R401" s="99" t="n">
        <x:v>47.9</x:v>
      </x:c>
      <x:c r="S401" s="99" t="n">
        <x:f>IFERROR(R401/L401,P401*(1-Q401))</x:f>
        <x:v>47.9</x:v>
      </x:c>
      <x:c r="T401" s="114" t="n">
        <x:v>0.07</x:v>
      </x:c>
      <x:c r="U401" s="99" t="n">
        <x:f>S401*(1+T401)</x:f>
        <x:v>51.253</x:v>
      </x:c>
      <x:c r="V401" s="99" t="n">
        <x:f>S401</x:f>
        <x:v>47.9</x:v>
      </x:c>
      <x:c r="W401" s="99" t="n">
        <x:f>V401-S401</x:f>
        <x:v>0</x:v>
      </x:c>
      <x:c r="X401" s="114" t="n">
        <x:f>IFERROR(W401/V401,0)</x:f>
        <x:v>0</x:v>
      </x:c>
      <x:c r="Y401" s="38" t="str">
        <x:v>Por unidad</x:v>
      </x:c>
      <x:c r="Z401" s="38" t="str">
        <x:f>IF(Y401="Botella / 3 instalaciones","Precio botella / 3",IF(Y401="Por rollo o metros proporcionales","Si se pasa rollo: rollo completo. Si se pasan metros: proporcional",Y401))</x:f>
        <x:v>Por unidad</x:v>
      </x:c>
      <x:c r="AA401" s="38" t="n">
        <x:v>1</x:v>
      </x:c>
      <x:c r="AB401" s="38" t="str"/>
      <x:c r="AC401" s="38" t="str"/>
      <x:c r="AD401" s="116" t="str">
        <x:v>2026-06-30</x:v>
      </x:c>
      <x:c r="AE401" s="38" t="str">
        <x:v>No</x:v>
      </x:c>
      <x:c r="AF401" s="38" t="str"/>
    </x:row>
    <x:row r="402">
      <x:c r="A402" s="38" t="str">
        <x:v>MAT-0401</x:v>
      </x:c>
      <x:c r="B402" s="38" t="str">
        <x:v>Sí</x:v>
      </x:c>
      <x:c r="C402" s="38" t="str">
        <x:v>Pequeño material</x:v>
      </x:c>
      <x:c r="D402" s="38" t="str">
        <x:v>Consumible</x:v>
      </x:c>
      <x:c r="E402" s="38" t="str">
        <x:v>Taco Brida M8 Negro</x:v>
      </x:c>
      <x:c r="F402" s="38" t="str">
        <x:v>TACO BRIDA M8 NEGRO</x:v>
      </x:c>
      <x:c r="G402" s="38" t="str">
        <x:v>DES-14020014 / 46016</x:v>
      </x:c>
      <x:c r="H402" s="38" t="str">
        <x:v>Comercial Eléctrica Canarias, S.A.</x:v>
      </x:c>
      <x:c r="I402" s="38" t="str">
        <x:v>Factura 90161426</x:v>
      </x:c>
      <x:c r="J402" s="115" t="str">
        <x:v>15/01/2026</x:v>
      </x:c>
      <x:c r="K402" s="38" t="str">
        <x:v>Albarán 160.133/016 (12/01/2026) NUM.VALE CRISTO</x:v>
      </x:c>
      <x:c r="L402" s="38" t="n">
        <x:v>100</x:v>
      </x:c>
      <x:c r="M402" s="38" t="str">
        <x:v>Unidad</x:v>
      </x:c>
      <x:c r="N402" s="38" t="n">
        <x:v>1</x:v>
      </x:c>
      <x:c r="O402" s="38" t="str">
        <x:v>Unidad</x:v>
      </x:c>
      <x:c r="P402" s="99" t="n">
        <x:v>0.038</x:v>
      </x:c>
      <x:c r="Q402" s="114" t="n">
        <x:v>0</x:v>
      </x:c>
      <x:c r="R402" s="99" t="n">
        <x:v>3.8</x:v>
      </x:c>
      <x:c r="S402" s="99" t="n">
        <x:f>IFERROR(R402/L402,P402*(1-Q402))</x:f>
        <x:v>0.038</x:v>
      </x:c>
      <x:c r="T402" s="114" t="n">
        <x:v>0.03</x:v>
      </x:c>
      <x:c r="U402" s="99" t="n">
        <x:f>S402*(1+T402)</x:f>
        <x:v>0.03914</x:v>
      </x:c>
      <x:c r="V402" s="99" t="n">
        <x:f>S402</x:f>
        <x:v>0.038</x:v>
      </x:c>
      <x:c r="W402" s="99" t="n">
        <x:f>V402-S402</x:f>
        <x:v>0</x:v>
      </x:c>
      <x:c r="X402" s="114" t="n">
        <x:f>IFERROR(W402/V402,0)</x:f>
        <x:v>0</x:v>
      </x:c>
      <x:c r="Y402" s="38" t="str">
        <x:v>Por unidad</x:v>
      </x:c>
      <x:c r="Z402" s="38" t="str">
        <x:f>IF(Y402="Botella / 3 instalaciones","Precio botella / 3",IF(Y402="Por rollo o metros proporcionales","Si se pasa rollo: rollo completo. Si se pasan metros: proporcional",Y402))</x:f>
        <x:v>Por unidad</x:v>
      </x:c>
      <x:c r="AA402" s="38" t="n">
        <x:v>1</x:v>
      </x:c>
      <x:c r="AB402" s="38" t="str"/>
      <x:c r="AC402" s="38" t="str"/>
      <x:c r="AD402" s="116" t="str">
        <x:v>2026-06-30</x:v>
      </x:c>
      <x:c r="AE402" s="38" t="str">
        <x:v>No</x:v>
      </x:c>
      <x:c r="AF402" s="38" t="str"/>
    </x:row>
    <x:row r="403">
      <x:c r="A403" s="38" t="str">
        <x:v>MAT-0402</x:v>
      </x:c>
      <x:c r="B403" s="38" t="str">
        <x:v>Sí</x:v>
      </x:c>
      <x:c r="C403" s="38" t="str">
        <x:v>Sin clasificar</x:v>
      </x:c>
      <x:c r="D403" s="38" t="str"/>
      <x:c r="E403" s="38" t="str">
        <x:v>Caja Deriv. 150X110X70 Ip55</x:v>
      </x:c>
      <x:c r="F403" s="38" t="str">
        <x:v>CAJA DERIV. 150x110x70 IP55</x:v>
      </x:c>
      <x:c r="G403" s="38" t="str">
        <x:v>GEW-GW44026 / 944026</x:v>
      </x:c>
      <x:c r="H403" s="38" t="str">
        <x:v>Comercial Eléctrica Canarias, S.A.</x:v>
      </x:c>
      <x:c r="I403" s="38" t="str">
        <x:v>Factura 90161426</x:v>
      </x:c>
      <x:c r="J403" s="115" t="str">
        <x:v>15/01/2026</x:v>
      </x:c>
      <x:c r="K403" s="38" t="str">
        <x:v>Albarán 160.233/016 (15/01/2026)</x:v>
      </x:c>
      <x:c r="L403" s="38" t="n">
        <x:v>1</x:v>
      </x:c>
      <x:c r="M403" s="38" t="str">
        <x:v>Unidad</x:v>
      </x:c>
      <x:c r="N403" s="38" t="n">
        <x:v>1</x:v>
      </x:c>
      <x:c r="O403" s="38" t="str">
        <x:v>Unidad</x:v>
      </x:c>
      <x:c r="P403" s="99" t="n">
        <x:v>3.245</x:v>
      </x:c>
      <x:c r="Q403" s="114" t="n">
        <x:v>0</x:v>
      </x:c>
      <x:c r="R403" s="99" t="n">
        <x:v>3.25</x:v>
      </x:c>
      <x:c r="S403" s="99" t="n">
        <x:f>IFERROR(R403/L403,P403*(1-Q403))</x:f>
        <x:v>3.25</x:v>
      </x:c>
      <x:c r="T403" s="114" t="n">
        <x:v>0.07</x:v>
      </x:c>
      <x:c r="U403" s="99" t="n">
        <x:f>S403*(1+T403)</x:f>
        <x:v>3.4775</x:v>
      </x:c>
      <x:c r="V403" s="99" t="n">
        <x:f>S403</x:f>
        <x:v>3.25</x:v>
      </x:c>
      <x:c r="W403" s="99" t="n">
        <x:f>V403-S403</x:f>
        <x:v>0</x:v>
      </x:c>
      <x:c r="X403" s="114" t="n">
        <x:f>IFERROR(W403/V403,0)</x:f>
        <x:v>0</x:v>
      </x:c>
      <x:c r="Y403" s="38" t="str">
        <x:v>Por unidad</x:v>
      </x:c>
      <x:c r="Z403" s="38" t="str">
        <x:f>IF(Y403="Botella / 3 instalaciones","Precio botella / 3",IF(Y403="Por rollo o metros proporcionales","Si se pasa rollo: rollo completo. Si se pasan metros: proporcional",Y403))</x:f>
        <x:v>Por unidad</x:v>
      </x:c>
      <x:c r="AA403" s="38" t="n">
        <x:v>1</x:v>
      </x:c>
      <x:c r="AB403" s="38" t="str"/>
      <x:c r="AC403" s="38" t="str"/>
      <x:c r="AD403" s="116" t="str">
        <x:v>2026-06-30</x:v>
      </x:c>
      <x:c r="AE403" s="38" t="str">
        <x:v>Sí</x:v>
      </x:c>
      <x:c r="AF403" s="38" t="str">
        <x:v>Revisar categoría antes de usar en cálculo automático.</x:v>
      </x:c>
    </x:row>
    <x:row r="404">
      <x:c r="A404" s="38" t="str">
        <x:v>MAT-0403</x:v>
      </x:c>
      <x:c r="B404" s="38" t="str">
        <x:v>Sí</x:v>
      </x:c>
      <x:c r="C404" s="38" t="str">
        <x:v>Sin clasificar</x:v>
      </x:c>
      <x:c r="D404" s="38" t="str"/>
      <x:c r="E404" s="38" t="str">
        <x:v>Borna Conex.Blan.12P 25-35Mm</x:v>
      </x:c>
      <x:c r="F404" s="38" t="str">
        <x:v>BORNA CONEX.BLAN.12P 25-35mm</x:v>
      </x:c>
      <x:c r="G404" s="38" t="str">
        <x:v>TEK-135 / 11755</x:v>
      </x:c>
      <x:c r="H404" s="38" t="str">
        <x:v>Comercial Eléctrica Canarias, S.A.</x:v>
      </x:c>
      <x:c r="I404" s="38" t="str">
        <x:v>Factura 90161426</x:v>
      </x:c>
      <x:c r="J404" s="115" t="str">
        <x:v>15/01/2026</x:v>
      </x:c>
      <x:c r="K404" s="38" t="str">
        <x:v>Albarán 160.233/016 (15/01/2026)</x:v>
      </x:c>
      <x:c r="L404" s="38" t="n">
        <x:v>1</x:v>
      </x:c>
      <x:c r="M404" s="38" t="str">
        <x:v>Unidad</x:v>
      </x:c>
      <x:c r="N404" s="38" t="n">
        <x:v>1</x:v>
      </x:c>
      <x:c r="O404" s="38" t="str">
        <x:v>Unidad</x:v>
      </x:c>
      <x:c r="P404" s="99" t="n">
        <x:v>6.793</x:v>
      </x:c>
      <x:c r="Q404" s="114" t="n">
        <x:v>0</x:v>
      </x:c>
      <x:c r="R404" s="99" t="n">
        <x:v>6.79</x:v>
      </x:c>
      <x:c r="S404" s="99" t="n">
        <x:f>IFERROR(R404/L404,P404*(1-Q404))</x:f>
        <x:v>6.79</x:v>
      </x:c>
      <x:c r="T404" s="114" t="n">
        <x:v>0.07</x:v>
      </x:c>
      <x:c r="U404" s="99" t="n">
        <x:f>S404*(1+T404)</x:f>
        <x:v>7.265300000000001</x:v>
      </x:c>
      <x:c r="V404" s="99" t="n">
        <x:f>S404</x:f>
        <x:v>6.79</x:v>
      </x:c>
      <x:c r="W404" s="99" t="n">
        <x:f>V404-S404</x:f>
        <x:v>0</x:v>
      </x:c>
      <x:c r="X404" s="114" t="n">
        <x:f>IFERROR(W404/V404,0)</x:f>
        <x:v>0</x:v>
      </x:c>
      <x:c r="Y404" s="38" t="str">
        <x:v>Por unidad</x:v>
      </x:c>
      <x:c r="Z404" s="38" t="str">
        <x:f>IF(Y404="Botella / 3 instalaciones","Precio botella / 3",IF(Y404="Por rollo o metros proporcionales","Si se pasa rollo: rollo completo. Si se pasan metros: proporcional",Y404))</x:f>
        <x:v>Por unidad</x:v>
      </x:c>
      <x:c r="AA404" s="38" t="n">
        <x:v>1</x:v>
      </x:c>
      <x:c r="AB404" s="38" t="str"/>
      <x:c r="AC404" s="38" t="str"/>
      <x:c r="AD404" s="116" t="str">
        <x:v>2026-06-30</x:v>
      </x:c>
      <x:c r="AE404" s="38" t="str">
        <x:v>Sí</x:v>
      </x:c>
      <x:c r="AF404" s="38" t="str">
        <x:v>Revisar categoría antes de usar en cálculo automático.</x:v>
      </x:c>
    </x:row>
    <x:row r="405">
      <x:c r="A405" s="38" t="str">
        <x:v>MAT-0404</x:v>
      </x:c>
      <x:c r="B405" s="38" t="str">
        <x:v>Sí</x:v>
      </x:c>
      <x:c r="C405" s="38" t="str">
        <x:v>Electricidad</x:v>
      </x:c>
      <x:c r="D405" s="38" t="str">
        <x:v>Protección/cuadro</x:v>
      </x:c>
      <x:c r="E405" s="38" t="str">
        <x:v>Automatico 1P+N 16A 6Ka C</x:v>
      </x:c>
      <x:c r="F405" s="38" t="str">
        <x:v>AUTOMATICO 1P+N 16A 6kA C</x:v>
      </x:c>
      <x:c r="G405" s="38" t="str">
        <x:v>06122612R0 / 202026</x:v>
      </x:c>
      <x:c r="H405" s="38" t="str">
        <x:v>Comercial Eléctrica Canarias, S.A.</x:v>
      </x:c>
      <x:c r="I405" s="38" t="str">
        <x:v>Factura 92743225</x:v>
      </x:c>
      <x:c r="J405" s="115" t="str">
        <x:v>15/07/2025</x:v>
      </x:c>
      <x:c r="K405" s="38" t="str">
        <x:v>Albarán 133.080/013 (02/07/2025)</x:v>
      </x:c>
      <x:c r="L405" s="38" t="n">
        <x:v>1</x:v>
      </x:c>
      <x:c r="M405" s="38" t="str">
        <x:v>Unidad</x:v>
      </x:c>
      <x:c r="N405" s="38" t="n">
        <x:v>1</x:v>
      </x:c>
      <x:c r="O405" s="38" t="str">
        <x:v>Unidad</x:v>
      </x:c>
      <x:c r="P405" s="99" t="n">
        <x:v>2.76</x:v>
      </x:c>
      <x:c r="Q405" s="114" t="n">
        <x:v>0</x:v>
      </x:c>
      <x:c r="R405" s="99" t="n">
        <x:v>2.76</x:v>
      </x:c>
      <x:c r="S405" s="99" t="n">
        <x:f>IFERROR(R405/L405,P405*(1-Q405))</x:f>
        <x:v>2.76</x:v>
      </x:c>
      <x:c r="T405" s="114" t="n">
        <x:v>0.07</x:v>
      </x:c>
      <x:c r="U405" s="99" t="n">
        <x:f>S405*(1+T405)</x:f>
        <x:v>2.9532</x:v>
      </x:c>
      <x:c r="V405" s="99" t="n">
        <x:f>S405</x:f>
        <x:v>2.76</x:v>
      </x:c>
      <x:c r="W405" s="99" t="n">
        <x:f>V405-S405</x:f>
        <x:v>0</x:v>
      </x:c>
      <x:c r="X405" s="114" t="n">
        <x:f>IFERROR(W405/V405,0)</x:f>
        <x:v>0</x:v>
      </x:c>
      <x:c r="Y405" s="38" t="str">
        <x:v>Por unidad</x:v>
      </x:c>
      <x:c r="Z405" s="38" t="str">
        <x:f>IF(Y405="Botella / 3 instalaciones","Precio botella / 3",IF(Y405="Por rollo o metros proporcionales","Si se pasa rollo: rollo completo. Si se pasan metros: proporcional",Y405))</x:f>
        <x:v>Por unidad</x:v>
      </x:c>
      <x:c r="AA405" s="38" t="n">
        <x:v>1</x:v>
      </x:c>
      <x:c r="AB405" s="38" t="str"/>
      <x:c r="AC405" s="38" t="str"/>
      <x:c r="AD405" s="116" t="str">
        <x:v>2026-06-30</x:v>
      </x:c>
      <x:c r="AE405" s="38" t="str">
        <x:v>No</x:v>
      </x:c>
      <x:c r="AF405" s="38" t="str"/>
    </x:row>
    <x:row r="406">
      <x:c r="A406" s="38" t="str">
        <x:v>MAT-0405</x:v>
      </x:c>
      <x:c r="B406" s="38" t="str">
        <x:v>Sí</x:v>
      </x:c>
      <x:c r="C406" s="38" t="str">
        <x:v>Electricidad</x:v>
      </x:c>
      <x:c r="D406" s="38" t="str">
        <x:v>Protección/cuadro</x:v>
      </x:c>
      <x:c r="E406" s="38" t="str">
        <x:v>Diferencial 2P 40A 30Ma Ac</x:v>
      </x:c>
      <x:c r="F406" s="38" t="str">
        <x:v>DIFERENCIAL 2P 40A 30mA AC</x:v>
      </x:c>
      <x:c r="G406" s="38" t="str">
        <x:v>06220109R0 / 202000</x:v>
      </x:c>
      <x:c r="H406" s="38" t="str">
        <x:v>Comercial Eléctrica Canarias, S.A.</x:v>
      </x:c>
      <x:c r="I406" s="38" t="str">
        <x:v>Factura 92743225</x:v>
      </x:c>
      <x:c r="J406" s="115" t="str">
        <x:v>15/07/2025</x:v>
      </x:c>
      <x:c r="K406" s="38" t="str">
        <x:v>Albarán 133.080/013 (02/07/2025)</x:v>
      </x:c>
      <x:c r="L406" s="38" t="n">
        <x:v>3</x:v>
      </x:c>
      <x:c r="M406" s="38" t="str">
        <x:v>Unidad</x:v>
      </x:c>
      <x:c r="N406" s="38" t="n">
        <x:v>1</x:v>
      </x:c>
      <x:c r="O406" s="38" t="str">
        <x:v>Unidad</x:v>
      </x:c>
      <x:c r="P406" s="99" t="n">
        <x:v>12.12</x:v>
      </x:c>
      <x:c r="Q406" s="114" t="n">
        <x:v>0</x:v>
      </x:c>
      <x:c r="R406" s="99" t="n">
        <x:v>36.36</x:v>
      </x:c>
      <x:c r="S406" s="99" t="n">
        <x:f>IFERROR(R406/L406,P406*(1-Q406))</x:f>
        <x:v>12.12</x:v>
      </x:c>
      <x:c r="T406" s="114" t="n">
        <x:v>0.07</x:v>
      </x:c>
      <x:c r="U406" s="99" t="n">
        <x:f>S406*(1+T406)</x:f>
        <x:v>12.968399999999999</x:v>
      </x:c>
      <x:c r="V406" s="99" t="n">
        <x:f>S406</x:f>
        <x:v>12.12</x:v>
      </x:c>
      <x:c r="W406" s="99" t="n">
        <x:f>V406-S406</x:f>
        <x:v>0</x:v>
      </x:c>
      <x:c r="X406" s="114" t="n">
        <x:f>IFERROR(W406/V406,0)</x:f>
        <x:v>0</x:v>
      </x:c>
      <x:c r="Y406" s="38" t="str">
        <x:v>Por unidad</x:v>
      </x:c>
      <x:c r="Z406" s="38" t="str">
        <x:f>IF(Y406="Botella / 3 instalaciones","Precio botella / 3",IF(Y406="Por rollo o metros proporcionales","Si se pasa rollo: rollo completo. Si se pasan metros: proporcional",Y406))</x:f>
        <x:v>Por unidad</x:v>
      </x:c>
      <x:c r="AA406" s="38" t="n">
        <x:v>1</x:v>
      </x:c>
      <x:c r="AB406" s="38" t="str"/>
      <x:c r="AC406" s="38" t="str"/>
      <x:c r="AD406" s="116" t="str">
        <x:v>2026-06-30</x:v>
      </x:c>
      <x:c r="AE406" s="38" t="str">
        <x:v>No</x:v>
      </x:c>
      <x:c r="AF406" s="38" t="str"/>
    </x:row>
    <x:row r="407">
      <x:c r="A407" s="38" t="str">
        <x:v>MAT-0406</x:v>
      </x:c>
      <x:c r="B407" s="38" t="str">
        <x:v>Sí</x:v>
      </x:c>
      <x:c r="C407" s="38" t="str">
        <x:v>Sin clasificar</x:v>
      </x:c>
      <x:c r="D407" s="38" t="str"/>
      <x:c r="E407" s="38" t="str">
        <x:v>Curva Flex Tubo/Tubo Ip65 M20</x:v>
      </x:c>
      <x:c r="F407" s="38" t="str">
        <x:v>CURVA FLEX TUBO/TUBO IP65 M20</x:v>
      </x:c>
      <x:c r="G407" s="38" t="str">
        <x:v>GEW-DX43520 / 9435209</x:v>
      </x:c>
      <x:c r="H407" s="38" t="str">
        <x:v>Comercial Eléctrica Canarias, S.A.</x:v>
      </x:c>
      <x:c r="I407" s="38" t="str">
        <x:v>Factura 92743225</x:v>
      </x:c>
      <x:c r="J407" s="115" t="str">
        <x:v>15/07/2025</x:v>
      </x:c>
      <x:c r="K407" s="38" t="str">
        <x:v>Albarán 133.080/013 (02/07/2025)</x:v>
      </x:c>
      <x:c r="L407" s="38" t="n">
        <x:v>4</x:v>
      </x:c>
      <x:c r="M407" s="38" t="str">
        <x:v>m²</x:v>
      </x:c>
      <x:c r="N407" s="38" t="n">
        <x:v>1</x:v>
      </x:c>
      <x:c r="O407" s="38" t="str">
        <x:v>m²</x:v>
      </x:c>
      <x:c r="P407" s="99" t="n">
        <x:v>3.043</x:v>
      </x:c>
      <x:c r="Q407" s="114" t="n">
        <x:v>0</x:v>
      </x:c>
      <x:c r="R407" s="99" t="n">
        <x:v>12.17</x:v>
      </x:c>
      <x:c r="S407" s="99" t="n">
        <x:f>IFERROR(R407/L407,P407*(1-Q407))</x:f>
        <x:v>3.0425</x:v>
      </x:c>
      <x:c r="T407" s="114" t="n">
        <x:v>0.03</x:v>
      </x:c>
      <x:c r="U407" s="99" t="n">
        <x:f>S407*(1+T407)</x:f>
        <x:v>3.133775</x:v>
      </x:c>
      <x:c r="V407" s="99" t="n">
        <x:f>S407</x:f>
        <x:v>3.0425</x:v>
      </x:c>
      <x:c r="W407" s="99" t="n">
        <x:f>V407-S407</x:f>
        <x:v>0</x:v>
      </x:c>
      <x:c r="X407" s="114" t="n">
        <x:f>IFERROR(W407/V407,0)</x:f>
        <x:v>0</x:v>
      </x:c>
      <x:c r="Y407" s="38" t="str">
        <x:v>Por unidad</x:v>
      </x:c>
      <x:c r="Z407" s="38" t="str">
        <x:f>IF(Y407="Botella / 3 instalaciones","Precio botella / 3",IF(Y407="Por rollo o metros proporcionales","Si se pasa rollo: rollo completo. Si se pasan metros: proporcional",Y407))</x:f>
        <x:v>Por unidad</x:v>
      </x:c>
      <x:c r="AA407" s="38" t="n">
        <x:v>1</x:v>
      </x:c>
      <x:c r="AB407" s="38" t="str"/>
      <x:c r="AC407" s="38" t="str"/>
      <x:c r="AD407" s="116" t="str">
        <x:v>2026-06-30</x:v>
      </x:c>
      <x:c r="AE407" s="38" t="str">
        <x:v>Sí</x:v>
      </x:c>
      <x:c r="AF407" s="38" t="str">
        <x:v>Revisar categoría antes de usar en cálculo automático.</x:v>
      </x:c>
    </x:row>
    <x:row r="408">
      <x:c r="A408" s="38" t="str">
        <x:v>MAT-0407</x:v>
      </x:c>
      <x:c r="B408" s="38" t="str">
        <x:v>Sí</x:v>
      </x:c>
      <x:c r="C408" s="38" t="str">
        <x:v>Sin clasificar</x:v>
      </x:c>
      <x:c r="D408" s="38" t="str"/>
      <x:c r="E408" s="38" t="str">
        <x:v>Abrazadera M-Quick Gris M16-20</x:v>
      </x:c>
      <x:c r="F408" s="38" t="str">
        <x:v>ABRAZADERA M-QUICK GRIS M16-20</x:v>
      </x:c>
      <x:c r="G408" s="38" t="str">
        <x:v>OBO-2153718 / 4780</x:v>
      </x:c>
      <x:c r="H408" s="38" t="str">
        <x:v>Comercial Eléctrica Canarias, S.A.</x:v>
      </x:c>
      <x:c r="I408" s="38" t="str">
        <x:v>Factura 92743225</x:v>
      </x:c>
      <x:c r="J408" s="115" t="str">
        <x:v>15/07/2025</x:v>
      </x:c>
      <x:c r="K408" s="38" t="str">
        <x:v>Albarán 133.080/013 (02/07/2025)</x:v>
      </x:c>
      <x:c r="L408" s="38" t="n">
        <x:v>20</x:v>
      </x:c>
      <x:c r="M408" s="38" t="str">
        <x:v>Unidad</x:v>
      </x:c>
      <x:c r="N408" s="38" t="n">
        <x:v>1</x:v>
      </x:c>
      <x:c r="O408" s="38" t="str">
        <x:v>Unidad</x:v>
      </x:c>
      <x:c r="P408" s="99" t="n">
        <x:v>0.298</x:v>
      </x:c>
      <x:c r="Q408" s="114" t="n">
        <x:v>0</x:v>
      </x:c>
      <x:c r="R408" s="99" t="n">
        <x:v>5.96</x:v>
      </x:c>
      <x:c r="S408" s="99" t="n">
        <x:f>IFERROR(R408/L408,P408*(1-Q408))</x:f>
        <x:v>0.298</x:v>
      </x:c>
      <x:c r="T408" s="114" t="n">
        <x:v>0.03</x:v>
      </x:c>
      <x:c r="U408" s="99" t="n">
        <x:f>S408*(1+T408)</x:f>
        <x:v>0.30694</x:v>
      </x:c>
      <x:c r="V408" s="99" t="n">
        <x:f>S408</x:f>
        <x:v>0.298</x:v>
      </x:c>
      <x:c r="W408" s="99" t="n">
        <x:f>V408-S408</x:f>
        <x:v>0</x:v>
      </x:c>
      <x:c r="X408" s="114" t="n">
        <x:f>IFERROR(W408/V408,0)</x:f>
        <x:v>0</x:v>
      </x:c>
      <x:c r="Y408" s="38" t="str">
        <x:v>Por unidad</x:v>
      </x:c>
      <x:c r="Z408" s="38" t="str">
        <x:f>IF(Y408="Botella / 3 instalaciones","Precio botella / 3",IF(Y408="Por rollo o metros proporcionales","Si se pasa rollo: rollo completo. Si se pasan metros: proporcional",Y408))</x:f>
        <x:v>Por unidad</x:v>
      </x:c>
      <x:c r="AA408" s="38" t="n">
        <x:v>1</x:v>
      </x:c>
      <x:c r="AB408" s="38" t="str"/>
      <x:c r="AC408" s="38" t="str"/>
      <x:c r="AD408" s="116" t="str">
        <x:v>2026-06-30</x:v>
      </x:c>
      <x:c r="AE408" s="38" t="str">
        <x:v>Sí</x:v>
      </x:c>
      <x:c r="AF408" s="38" t="str">
        <x:v>Revisar categoría antes de usar en cálculo automático.</x:v>
      </x:c>
    </x:row>
    <x:row r="409">
      <x:c r="A409" s="38" t="str">
        <x:v>MAT-0408</x:v>
      </x:c>
      <x:c r="B409" s="38" t="str">
        <x:v>Sí</x:v>
      </x:c>
      <x:c r="C409" s="38" t="str">
        <x:v>Sin clasificar</x:v>
      </x:c>
      <x:c r="D409" s="38" t="str"/>
      <x:c r="E409" s="38" t="str">
        <x:v>Caja Deriv.100X100X50 Ip55</x:v>
      </x:c>
      <x:c r="F409" s="38" t="str">
        <x:v>CAJA DERIV.100x100x50 IP55</x:v>
      </x:c>
      <x:c r="G409" s="38" t="str">
        <x:v>GEW-GW44024 / 944024</x:v>
      </x:c>
      <x:c r="H409" s="38" t="str">
        <x:v>Comercial Eléctrica Canarias, S.A.</x:v>
      </x:c>
      <x:c r="I409" s="38" t="str">
        <x:v>Factura 92743225</x:v>
      </x:c>
      <x:c r="J409" s="115" t="str">
        <x:v>15/07/2025</x:v>
      </x:c>
      <x:c r="K409" s="38" t="str">
        <x:v>Albarán 133.080/013 (02/07/2025)</x:v>
      </x:c>
      <x:c r="L409" s="38" t="n">
        <x:v>1</x:v>
      </x:c>
      <x:c r="M409" s="38" t="str">
        <x:v>Unidad</x:v>
      </x:c>
      <x:c r="N409" s="38" t="n">
        <x:v>1</x:v>
      </x:c>
      <x:c r="O409" s="38" t="str">
        <x:v>Unidad</x:v>
      </x:c>
      <x:c r="P409" s="99" t="n">
        <x:v>1.584</x:v>
      </x:c>
      <x:c r="Q409" s="114" t="n">
        <x:v>0</x:v>
      </x:c>
      <x:c r="R409" s="99" t="n">
        <x:v>1.58</x:v>
      </x:c>
      <x:c r="S409" s="99" t="n">
        <x:f>IFERROR(R409/L409,P409*(1-Q409))</x:f>
        <x:v>1.58</x:v>
      </x:c>
      <x:c r="T409" s="114" t="n">
        <x:v>0.07</x:v>
      </x:c>
      <x:c r="U409" s="99" t="n">
        <x:f>S409*(1+T409)</x:f>
        <x:v>1.6906</x:v>
      </x:c>
      <x:c r="V409" s="99" t="n">
        <x:f>S409</x:f>
        <x:v>1.58</x:v>
      </x:c>
      <x:c r="W409" s="99" t="n">
        <x:f>V409-S409</x:f>
        <x:v>0</x:v>
      </x:c>
      <x:c r="X409" s="114" t="n">
        <x:f>IFERROR(W409/V409,0)</x:f>
        <x:v>0</x:v>
      </x:c>
      <x:c r="Y409" s="38" t="str">
        <x:v>Por unidad</x:v>
      </x:c>
      <x:c r="Z409" s="38" t="str">
        <x:f>IF(Y409="Botella / 3 instalaciones","Precio botella / 3",IF(Y409="Por rollo o metros proporcionales","Si se pasa rollo: rollo completo. Si se pasan metros: proporcional",Y409))</x:f>
        <x:v>Por unidad</x:v>
      </x:c>
      <x:c r="AA409" s="38" t="n">
        <x:v>1</x:v>
      </x:c>
      <x:c r="AB409" s="38" t="str"/>
      <x:c r="AC409" s="38" t="str"/>
      <x:c r="AD409" s="116" t="str">
        <x:v>2026-06-30</x:v>
      </x:c>
      <x:c r="AE409" s="38" t="str">
        <x:v>Sí</x:v>
      </x:c>
      <x:c r="AF409" s="38" t="str">
        <x:v>Revisar categoría antes de usar en cálculo automático.</x:v>
      </x:c>
    </x:row>
    <x:row r="410">
      <x:c r="A410" s="38" t="str">
        <x:v>MAT-0409</x:v>
      </x:c>
      <x:c r="B410" s="38" t="str">
        <x:v>Sí</x:v>
      </x:c>
      <x:c r="C410" s="38" t="str">
        <x:v>Electricidad</x:v>
      </x:c>
      <x:c r="D410" s="38" t="str">
        <x:v>Cable eléctrico</x:v>
      </x:c>
      <x:c r="E410" s="38" t="str">
        <x:v>Cable H07Z1-K Cpr 1X6 Negro</x:v>
      </x:c>
      <x:c r="F410" s="38" t="str">
        <x:v>CABLE H07Z1-K CPR 1X6 NEGRO</x:v>
      </x:c>
      <x:c r="G410" s="38" t="str">
        <x:v>CABLE / 555172</x:v>
      </x:c>
      <x:c r="H410" s="38" t="str">
        <x:v>Comercial Eléctrica Canarias, S.A.</x:v>
      </x:c>
      <x:c r="I410" s="38" t="str">
        <x:v>Factura 92743225</x:v>
      </x:c>
      <x:c r="J410" s="115" t="str">
        <x:v>15/07/2025</x:v>
      </x:c>
      <x:c r="K410" s="38" t="str">
        <x:v>Albarán 133.080/013 (02/07/2025)</x:v>
      </x:c>
      <x:c r="L410" s="38" t="n">
        <x:v>1</x:v>
      </x:c>
      <x:c r="M410" s="38" t="str">
        <x:v>Metro</x:v>
      </x:c>
      <x:c r="N410" s="38" t="n">
        <x:v>1</x:v>
      </x:c>
      <x:c r="O410" s="38" t="str">
        <x:v>Metro</x:v>
      </x:c>
      <x:c r="P410" s="99" t="n">
        <x:v>0.725</x:v>
      </x:c>
      <x:c r="Q410" s="114" t="n">
        <x:v>0</x:v>
      </x:c>
      <x:c r="R410" s="99" t="n">
        <x:v>0.73</x:v>
      </x:c>
      <x:c r="S410" s="99" t="n">
        <x:f>IFERROR(R410/L410,P410*(1-Q410))</x:f>
        <x:v>0.73</x:v>
      </x:c>
      <x:c r="T410" s="114" t="n">
        <x:v>0.07</x:v>
      </x:c>
      <x:c r="U410" s="99" t="n">
        <x:f>S410*(1+T410)</x:f>
        <x:v>0.7811</x:v>
      </x:c>
      <x:c r="V410" s="99" t="n">
        <x:f>S410</x:f>
        <x:v>0.73</x:v>
      </x:c>
      <x:c r="W410" s="99" t="n">
        <x:f>V410-S410</x:f>
        <x:v>0</x:v>
      </x:c>
      <x:c r="X410" s="114" t="n">
        <x:f>IFERROR(W410/V410,0)</x:f>
        <x:v>0</x:v>
      </x:c>
      <x:c r="Y410" s="38" t="str">
        <x:v>Por metros</x:v>
      </x:c>
      <x:c r="Z410" s="38" t="str">
        <x:f>IF(Y410="Botella / 3 instalaciones","Precio botella / 3",IF(Y410="Por rollo o metros proporcionales","Si se pasa rollo: rollo completo. Si se pasan metros: proporcional",Y410))</x:f>
        <x:v>Por metros</x:v>
      </x:c>
      <x:c r="AA410" s="38" t="n">
        <x:v>1</x:v>
      </x:c>
      <x:c r="AB410" s="38" t="str"/>
      <x:c r="AC410" s="38" t="str"/>
      <x:c r="AD410" s="116" t="str">
        <x:v>2026-06-30</x:v>
      </x:c>
      <x:c r="AE410" s="38" t="str">
        <x:v>No</x:v>
      </x:c>
      <x:c r="AF410" s="38" t="str"/>
    </x:row>
    <x:row r="411">
      <x:c r="A411" s="38" t="str">
        <x:v>MAT-0410</x:v>
      </x:c>
      <x:c r="B411" s="38" t="str">
        <x:v>Sí</x:v>
      </x:c>
      <x:c r="C411" s="38" t="str">
        <x:v>Electricidad</x:v>
      </x:c>
      <x:c r="D411" s="38" t="str">
        <x:v>Cable eléctrico</x:v>
      </x:c>
      <x:c r="E411" s="38" t="str">
        <x:v>Cable H07Z1-K Cpr 1X6 Marron</x:v>
      </x:c>
      <x:c r="F411" s="38" t="str">
        <x:v>CABLE H07Z1-K CPR 1X6 MARRON</x:v>
      </x:c>
      <x:c r="G411" s="38" t="str">
        <x:v>CABLE / 555173</x:v>
      </x:c>
      <x:c r="H411" s="38" t="str">
        <x:v>Comercial Eléctrica Canarias, S.A.</x:v>
      </x:c>
      <x:c r="I411" s="38" t="str">
        <x:v>Factura 92743225</x:v>
      </x:c>
      <x:c r="J411" s="115" t="str">
        <x:v>15/07/2025</x:v>
      </x:c>
      <x:c r="K411" s="38" t="str">
        <x:v>Albarán 133.080/013 (02/07/2025)</x:v>
      </x:c>
      <x:c r="L411" s="38" t="n">
        <x:v>1</x:v>
      </x:c>
      <x:c r="M411" s="38" t="str">
        <x:v>Metro</x:v>
      </x:c>
      <x:c r="N411" s="38" t="n">
        <x:v>1</x:v>
      </x:c>
      <x:c r="O411" s="38" t="str">
        <x:v>Metro</x:v>
      </x:c>
      <x:c r="P411" s="99" t="n">
        <x:v>0.725</x:v>
      </x:c>
      <x:c r="Q411" s="114" t="n">
        <x:v>0</x:v>
      </x:c>
      <x:c r="R411" s="99" t="n">
        <x:v>0.73</x:v>
      </x:c>
      <x:c r="S411" s="99" t="n">
        <x:f>IFERROR(R411/L411,P411*(1-Q411))</x:f>
        <x:v>0.73</x:v>
      </x:c>
      <x:c r="T411" s="114" t="n">
        <x:v>0.07</x:v>
      </x:c>
      <x:c r="U411" s="99" t="n">
        <x:f>S411*(1+T411)</x:f>
        <x:v>0.7811</x:v>
      </x:c>
      <x:c r="V411" s="99" t="n">
        <x:f>S411</x:f>
        <x:v>0.73</x:v>
      </x:c>
      <x:c r="W411" s="99" t="n">
        <x:f>V411-S411</x:f>
        <x:v>0</x:v>
      </x:c>
      <x:c r="X411" s="114" t="n">
        <x:f>IFERROR(W411/V411,0)</x:f>
        <x:v>0</x:v>
      </x:c>
      <x:c r="Y411" s="38" t="str">
        <x:v>Por metros</x:v>
      </x:c>
      <x:c r="Z411" s="38" t="str">
        <x:f>IF(Y411="Botella / 3 instalaciones","Precio botella / 3",IF(Y411="Por rollo o metros proporcionales","Si se pasa rollo: rollo completo. Si se pasan metros: proporcional",Y411))</x:f>
        <x:v>Por metros</x:v>
      </x:c>
      <x:c r="AA411" s="38" t="n">
        <x:v>1</x:v>
      </x:c>
      <x:c r="AB411" s="38" t="str"/>
      <x:c r="AC411" s="38" t="str"/>
      <x:c r="AD411" s="116" t="str">
        <x:v>2026-06-30</x:v>
      </x:c>
      <x:c r="AE411" s="38" t="str">
        <x:v>No</x:v>
      </x:c>
      <x:c r="AF411" s="38" t="str"/>
    </x:row>
    <x:row r="412">
      <x:c r="A412" s="38" t="str">
        <x:v>MAT-0411</x:v>
      </x:c>
      <x:c r="B412" s="38" t="str">
        <x:v>Sí</x:v>
      </x:c>
      <x:c r="C412" s="38" t="str">
        <x:v>Electricidad</x:v>
      </x:c>
      <x:c r="D412" s="38" t="str">
        <x:v>Cable eléctrico</x:v>
      </x:c>
      <x:c r="E412" s="38" t="str">
        <x:v>Cable Rz1-K Cpr 3G2.5 Rollo</x:v>
      </x:c>
      <x:c r="F412" s="38" t="str">
        <x:v>CABLE RZ1-K CPR 3G2.5 ROLLO</x:v>
      </x:c>
      <x:c r="G412" s="38" t="str">
        <x:v>CABLE / 5551477</x:v>
      </x:c>
      <x:c r="H412" s="38" t="str">
        <x:v>Comercial Eléctrica Canarias, S.A.</x:v>
      </x:c>
      <x:c r="I412" s="38" t="str">
        <x:v>Factura 92743225</x:v>
      </x:c>
      <x:c r="J412" s="115" t="str">
        <x:v>15/07/2025</x:v>
      </x:c>
      <x:c r="K412" s="38" t="str">
        <x:v>Albarán 133.082/013 (02/07/2025)</x:v>
      </x:c>
      <x:c r="L412" s="38" t="n">
        <x:v>16</x:v>
      </x:c>
      <x:c r="M412" s="38" t="str">
        <x:v>Unidad</x:v>
      </x:c>
      <x:c r="N412" s="38" t="n">
        <x:v>1</x:v>
      </x:c>
      <x:c r="O412" s="38" t="str">
        <x:v>Unidad</x:v>
      </x:c>
      <x:c r="P412" s="99" t="n">
        <x:v>1.315</x:v>
      </x:c>
      <x:c r="Q412" s="114" t="n">
        <x:v>0</x:v>
      </x:c>
      <x:c r="R412" s="99" t="n">
        <x:v>21.04</x:v>
      </x:c>
      <x:c r="S412" s="99" t="n">
        <x:f>IFERROR(R412/L412,P412*(1-Q412))</x:f>
        <x:v>1.315</x:v>
      </x:c>
      <x:c r="T412" s="114" t="n">
        <x:v>0.07</x:v>
      </x:c>
      <x:c r="U412" s="99" t="n">
        <x:f>S412*(1+T412)</x:f>
        <x:v>1.4070500000000001</x:v>
      </x:c>
      <x:c r="V412" s="99" t="n">
        <x:f>S412</x:f>
        <x:v>1.315</x:v>
      </x:c>
      <x:c r="W412" s="99" t="n">
        <x:f>V412-S412</x:f>
        <x:v>0</x:v>
      </x:c>
      <x:c r="X412" s="114" t="n">
        <x:f>IFERROR(W412/V412,0)</x:f>
        <x:v>0</x:v>
      </x:c>
      <x:c r="Y412" s="38" t="str">
        <x:v>Por unidad</x:v>
      </x:c>
      <x:c r="Z412" s="38" t="str">
        <x:f>IF(Y412="Botella / 3 instalaciones","Precio botella / 3",IF(Y412="Por rollo o metros proporcionales","Si se pasa rollo: rollo completo. Si se pasan metros: proporcional",Y412))</x:f>
        <x:v>Por unidad</x:v>
      </x:c>
      <x:c r="AA412" s="38" t="n">
        <x:v>1</x:v>
      </x:c>
      <x:c r="AB412" s="38" t="str"/>
      <x:c r="AC412" s="38" t="str"/>
      <x:c r="AD412" s="116" t="str">
        <x:v>2026-06-30</x:v>
      </x:c>
      <x:c r="AE412" s="38" t="str">
        <x:v>No</x:v>
      </x:c>
      <x:c r="AF412" s="38" t="str"/>
    </x:row>
    <x:row r="413">
      <x:c r="A413" s="38" t="str">
        <x:v>MAT-0412</x:v>
      </x:c>
      <x:c r="B413" s="38" t="str">
        <x:v>Sí</x:v>
      </x:c>
      <x:c r="C413" s="38" t="str">
        <x:v>Sin clasificar</x:v>
      </x:c>
      <x:c r="D413" s="38" t="str"/>
      <x:c r="E413" s="38" t="str">
        <x:v>Dpn 1Mod. 1P+N 16A C 6Ka</x:v>
      </x:c>
      <x:c r="F413" s="38" t="str">
        <x:v>DPN 1MOD. 1P+N 16A C 6KA</x:v>
      </x:c>
      <x:c r="G413" s="38" t="str">
        <x:v>D1L0110823. / 202376</x:v>
      </x:c>
      <x:c r="H413" s="38" t="str">
        <x:v>Comercial Eléctrica Canarias, S.A.</x:v>
      </x:c>
      <x:c r="I413" s="38" t="str">
        <x:v>Factura 92743225</x:v>
      </x:c>
      <x:c r="J413" s="115" t="str">
        <x:v>15/07/2025</x:v>
      </x:c>
      <x:c r="K413" s="38" t="str">
        <x:v>Albarán 133.082/013 (02/07/2025)</x:v>
      </x:c>
      <x:c r="L413" s="38" t="n">
        <x:v>1</x:v>
      </x:c>
      <x:c r="M413" s="38" t="str">
        <x:v>Unidad</x:v>
      </x:c>
      <x:c r="N413" s="38" t="n">
        <x:v>1</x:v>
      </x:c>
      <x:c r="O413" s="38" t="str">
        <x:v>Unidad</x:v>
      </x:c>
      <x:c r="P413" s="99" t="n">
        <x:v>6.44</x:v>
      </x:c>
      <x:c r="Q413" s="114" t="n">
        <x:v>0</x:v>
      </x:c>
      <x:c r="R413" s="99" t="n">
        <x:v>6.44</x:v>
      </x:c>
      <x:c r="S413" s="99" t="n">
        <x:f>IFERROR(R413/L413,P413*(1-Q413))</x:f>
        <x:v>6.44</x:v>
      </x:c>
      <x:c r="T413" s="114" t="n">
        <x:v>0.07</x:v>
      </x:c>
      <x:c r="U413" s="99" t="n">
        <x:f>S413*(1+T413)</x:f>
        <x:v>6.8908000000000005</x:v>
      </x:c>
      <x:c r="V413" s="99" t="n">
        <x:f>S413</x:f>
        <x:v>6.44</x:v>
      </x:c>
      <x:c r="W413" s="99" t="n">
        <x:f>V413-S413</x:f>
        <x:v>0</x:v>
      </x:c>
      <x:c r="X413" s="114" t="n">
        <x:f>IFERROR(W413/V413,0)</x:f>
        <x:v>0</x:v>
      </x:c>
      <x:c r="Y413" s="38" t="str">
        <x:v>Por unidad</x:v>
      </x:c>
      <x:c r="Z413" s="38" t="str">
        <x:f>IF(Y413="Botella / 3 instalaciones","Precio botella / 3",IF(Y413="Por rollo o metros proporcionales","Si se pasa rollo: rollo completo. Si se pasan metros: proporcional",Y413))</x:f>
        <x:v>Por unidad</x:v>
      </x:c>
      <x:c r="AA413" s="38" t="n">
        <x:v>1</x:v>
      </x:c>
      <x:c r="AB413" s="38" t="str"/>
      <x:c r="AC413" s="38" t="str"/>
      <x:c r="AD413" s="116" t="str">
        <x:v>2026-06-30</x:v>
      </x:c>
      <x:c r="AE413" s="38" t="str">
        <x:v>Sí</x:v>
      </x:c>
      <x:c r="AF413" s="38" t="str">
        <x:v>Revisar categoría antes de usar en cálculo automático.</x:v>
      </x:c>
    </x:row>
    <x:row r="414">
      <x:c r="A414" s="38" t="str">
        <x:v>MAT-0413</x:v>
      </x:c>
      <x:c r="B414" s="38" t="str">
        <x:v>Sí</x:v>
      </x:c>
      <x:c r="C414" s="38" t="str">
        <x:v>Sin clasificar</x:v>
      </x:c>
      <x:c r="D414" s="38" t="str"/>
      <x:c r="E414" s="38" t="str">
        <x:v>Detector Mov.Superf.360°</x:v>
      </x:c>
      <x:c r="F414" s="38" t="str">
        <x:v>DETECTOR MOV.SUPERF.360°</x:v>
      </x:c>
      <x:c r="G414" s="38" t="str">
        <x:v>XIN-SEKKYUR C / 33006</x:v>
      </x:c>
      <x:c r="H414" s="38" t="str">
        <x:v>Comercial Eléctrica Canarias, S.A.</x:v>
      </x:c>
      <x:c r="I414" s="38" t="str">
        <x:v>Factura 92743225</x:v>
      </x:c>
      <x:c r="J414" s="115" t="str">
        <x:v>15/07/2025</x:v>
      </x:c>
      <x:c r="K414" s="38" t="str">
        <x:v>Albarán 133.217/013 (09/07/2025)</x:v>
      </x:c>
      <x:c r="L414" s="38" t="n">
        <x:v>8</x:v>
      </x:c>
      <x:c r="M414" s="38" t="str">
        <x:v>Unidad</x:v>
      </x:c>
      <x:c r="N414" s="38" t="n">
        <x:v>1</x:v>
      </x:c>
      <x:c r="O414" s="38" t="str">
        <x:v>Unidad</x:v>
      </x:c>
      <x:c r="P414" s="99" t="n">
        <x:v>9.673</x:v>
      </x:c>
      <x:c r="Q414" s="114" t="n">
        <x:v>0</x:v>
      </x:c>
      <x:c r="R414" s="99" t="n">
        <x:v>77.38</x:v>
      </x:c>
      <x:c r="S414" s="99" t="n">
        <x:f>IFERROR(R414/L414,P414*(1-Q414))</x:f>
        <x:v>9.6725</x:v>
      </x:c>
      <x:c r="T414" s="114" t="n">
        <x:v>0.07</x:v>
      </x:c>
      <x:c r="U414" s="99" t="n">
        <x:f>S414*(1+T414)</x:f>
        <x:v>10.349575</x:v>
      </x:c>
      <x:c r="V414" s="99" t="n">
        <x:f>S414</x:f>
        <x:v>9.6725</x:v>
      </x:c>
      <x:c r="W414" s="99" t="n">
        <x:f>V414-S414</x:f>
        <x:v>0</x:v>
      </x:c>
      <x:c r="X414" s="114" t="n">
        <x:f>IFERROR(W414/V414,0)</x:f>
        <x:v>0</x:v>
      </x:c>
      <x:c r="Y414" s="38" t="str">
        <x:v>Por unidad</x:v>
      </x:c>
      <x:c r="Z414" s="38" t="str">
        <x:f>IF(Y414="Botella / 3 instalaciones","Precio botella / 3",IF(Y414="Por rollo o metros proporcionales","Si se pasa rollo: rollo completo. Si se pasan metros: proporcional",Y414))</x:f>
        <x:v>Por unidad</x:v>
      </x:c>
      <x:c r="AA414" s="38" t="n">
        <x:v>1</x:v>
      </x:c>
      <x:c r="AB414" s="38" t="str"/>
      <x:c r="AC414" s="38" t="str"/>
      <x:c r="AD414" s="116" t="str">
        <x:v>2026-06-30</x:v>
      </x:c>
      <x:c r="AE414" s="38" t="str">
        <x:v>Sí</x:v>
      </x:c>
      <x:c r="AF414" s="38" t="str">
        <x:v>Revisar categoría antes de usar en cálculo automático.</x:v>
      </x:c>
    </x:row>
    <x:row r="415">
      <x:c r="A415" s="38" t="str">
        <x:v>MAT-0414</x:v>
      </x:c>
      <x:c r="B415" s="38" t="str">
        <x:v>Sí</x:v>
      </x:c>
      <x:c r="C415" s="38" t="str">
        <x:v>Sin clasificar</x:v>
      </x:c>
      <x:c r="D415" s="38" t="str"/>
      <x:c r="E415" s="38" t="str">
        <x:v>Tubo Reflex M25</x:v>
      </x:c>
      <x:c r="F415" s="38" t="str">
        <x:v>TUBO REFLEX M25</x:v>
      </x:c>
      <x:c r="G415" s="38" t="str">
        <x:v>CAN-80100025 / 366</x:v>
      </x:c>
      <x:c r="H415" s="38" t="str">
        <x:v>Comercial Eléctrica Canarias, S.A.</x:v>
      </x:c>
      <x:c r="I415" s="38" t="str">
        <x:v>Factura 92743225</x:v>
      </x:c>
      <x:c r="J415" s="115" t="str">
        <x:v>15/07/2025</x:v>
      </x:c>
      <x:c r="K415" s="38" t="str">
        <x:v>Albarán 303.539/001 (03/07/2025)</x:v>
      </x:c>
      <x:c r="L415" s="38" t="n">
        <x:v>100</x:v>
      </x:c>
      <x:c r="M415" s="38" t="str">
        <x:v>m²</x:v>
      </x:c>
      <x:c r="N415" s="38" t="n">
        <x:v>1</x:v>
      </x:c>
      <x:c r="O415" s="38" t="str">
        <x:v>m²</x:v>
      </x:c>
      <x:c r="P415" s="99" t="n">
        <x:v>0.257</x:v>
      </x:c>
      <x:c r="Q415" s="114" t="n">
        <x:v>0</x:v>
      </x:c>
      <x:c r="R415" s="99" t="n">
        <x:v>25.7</x:v>
      </x:c>
      <x:c r="S415" s="99" t="n">
        <x:f>IFERROR(R415/L415,P415*(1-Q415))</x:f>
        <x:v>0.257</x:v>
      </x:c>
      <x:c r="T415" s="114" t="n">
        <x:v>0.03</x:v>
      </x:c>
      <x:c r="U415" s="99" t="n">
        <x:f>S415*(1+T415)</x:f>
        <x:v>0.26471</x:v>
      </x:c>
      <x:c r="V415" s="99" t="n">
        <x:f>S415</x:f>
        <x:v>0.257</x:v>
      </x:c>
      <x:c r="W415" s="99" t="n">
        <x:f>V415-S415</x:f>
        <x:v>0</x:v>
      </x:c>
      <x:c r="X415" s="114" t="n">
        <x:f>IFERROR(W415/V415,0)</x:f>
        <x:v>0</x:v>
      </x:c>
      <x:c r="Y415" s="38" t="str">
        <x:v>Por unidad</x:v>
      </x:c>
      <x:c r="Z415" s="38" t="str">
        <x:f>IF(Y415="Botella / 3 instalaciones","Precio botella / 3",IF(Y415="Por rollo o metros proporcionales","Si se pasa rollo: rollo completo. Si se pasan metros: proporcional",Y415))</x:f>
        <x:v>Por unidad</x:v>
      </x:c>
      <x:c r="AA415" s="38" t="n">
        <x:v>1</x:v>
      </x:c>
      <x:c r="AB415" s="38" t="str"/>
      <x:c r="AC415" s="38" t="str"/>
      <x:c r="AD415" s="116" t="str">
        <x:v>2026-06-30</x:v>
      </x:c>
      <x:c r="AE415" s="38" t="str">
        <x:v>Sí</x:v>
      </x:c>
      <x:c r="AF415" s="38" t="str">
        <x:v>Revisar categoría antes de usar en cálculo automático.</x:v>
      </x:c>
    </x:row>
    <x:row r="416">
      <x:c r="A416" s="38" t="str">
        <x:v>MAT-0415</x:v>
      </x:c>
      <x:c r="B416" s="38" t="str">
        <x:v>Sí</x:v>
      </x:c>
      <x:c r="C416" s="38" t="str">
        <x:v>Electricidad</x:v>
      </x:c>
      <x:c r="D416" s="38" t="str">
        <x:v>Cable eléctrico</x:v>
      </x:c>
      <x:c r="E416" s="38" t="str">
        <x:v>Cable 07Z1K Cpr 1X1.5 Az 100Mt</x:v>
      </x:c>
      <x:c r="F416" s="38" t="str">
        <x:v>CABLE 07Z1K CPR 1X1.5 AZ 100MT</x:v>
      </x:c>
      <x:c r="G416" s="38" t="str">
        <x:v>CABLE / 89555160</x:v>
      </x:c>
      <x:c r="H416" s="38" t="str">
        <x:v>Comercial Eléctrica Canarias, S.A.</x:v>
      </x:c>
      <x:c r="I416" s="38" t="str">
        <x:v>Factura 92743225</x:v>
      </x:c>
      <x:c r="J416" s="115" t="str">
        <x:v>15/07/2025</x:v>
      </x:c>
      <x:c r="K416" s="38" t="str">
        <x:v>Albarán 303.539/001 (03/07/2025)</x:v>
      </x:c>
      <x:c r="L416" s="38" t="n">
        <x:v>100</x:v>
      </x:c>
      <x:c r="M416" s="38" t="str">
        <x:v>Metro</x:v>
      </x:c>
      <x:c r="N416" s="38" t="n">
        <x:v>1</x:v>
      </x:c>
      <x:c r="O416" s="38" t="str">
        <x:v>Metro</x:v>
      </x:c>
      <x:c r="P416" s="99" t="n">
        <x:v>0.198</x:v>
      </x:c>
      <x:c r="Q416" s="114" t="n">
        <x:v>0</x:v>
      </x:c>
      <x:c r="R416" s="99" t="n">
        <x:v>19.8</x:v>
      </x:c>
      <x:c r="S416" s="99" t="n">
        <x:f>IFERROR(R416/L416,P416*(1-Q416))</x:f>
        <x:v>0.198</x:v>
      </x:c>
      <x:c r="T416" s="114" t="n">
        <x:v>0.07</x:v>
      </x:c>
      <x:c r="U416" s="99" t="n">
        <x:f>S416*(1+T416)</x:f>
        <x:v>0.21186000000000002</x:v>
      </x:c>
      <x:c r="V416" s="99" t="n">
        <x:f>S416</x:f>
        <x:v>0.198</x:v>
      </x:c>
      <x:c r="W416" s="99" t="n">
        <x:f>V416-S416</x:f>
        <x:v>0</x:v>
      </x:c>
      <x:c r="X416" s="114" t="n">
        <x:f>IFERROR(W416/V416,0)</x:f>
        <x:v>0</x:v>
      </x:c>
      <x:c r="Y416" s="38" t="str">
        <x:v>Por metros</x:v>
      </x:c>
      <x:c r="Z416" s="38" t="str">
        <x:f>IF(Y416="Botella / 3 instalaciones","Precio botella / 3",IF(Y416="Por rollo o metros proporcionales","Si se pasa rollo: rollo completo. Si se pasan metros: proporcional",Y416))</x:f>
        <x:v>Por metros</x:v>
      </x:c>
      <x:c r="AA416" s="38" t="n">
        <x:v>1</x:v>
      </x:c>
      <x:c r="AB416" s="38" t="str"/>
      <x:c r="AC416" s="38" t="str"/>
      <x:c r="AD416" s="116" t="str">
        <x:v>2026-06-30</x:v>
      </x:c>
      <x:c r="AE416" s="38" t="str">
        <x:v>No</x:v>
      </x:c>
      <x:c r="AF416" s="38" t="str"/>
    </x:row>
    <x:row r="417">
      <x:c r="A417" s="38" t="str">
        <x:v>MAT-0416</x:v>
      </x:c>
      <x:c r="B417" s="38" t="str">
        <x:v>Sí</x:v>
      </x:c>
      <x:c r="C417" s="38" t="str">
        <x:v>Pequeño material</x:v>
      </x:c>
      <x:c r="D417" s="38" t="str">
        <x:v>Consumible</x:v>
      </x:c>
      <x:c r="E417" s="38" t="str">
        <x:v>Cinta Aislante N10 33X25 Blanc</x:v>
      </x:c>
      <x:c r="F417" s="38" t="str">
        <x:v>CINTA AISLANTE N10 33x25 BLANC</x:v>
      </x:c>
      <x:c r="G417" s="38" t="str">
        <x:v>PLY-5538 / 3088</x:v>
      </x:c>
      <x:c r="H417" s="38" t="str">
        <x:v>Comercial Eléctrica Canarias, S.A.</x:v>
      </x:c>
      <x:c r="I417" s="38" t="str">
        <x:v>Factura 92743225</x:v>
      </x:c>
      <x:c r="J417" s="115" t="str">
        <x:v>15/07/2025</x:v>
      </x:c>
      <x:c r="K417" s="38" t="str">
        <x:v>Albarán 303.539/001 (03/07/2025)</x:v>
      </x:c>
      <x:c r="L417" s="38" t="n">
        <x:v>1</x:v>
      </x:c>
      <x:c r="M417" s="38" t="str">
        <x:v>Unidad</x:v>
      </x:c>
      <x:c r="N417" s="38" t="n">
        <x:v>1</x:v>
      </x:c>
      <x:c r="O417" s="38" t="str">
        <x:v>Unidad</x:v>
      </x:c>
      <x:c r="P417" s="99" t="n">
        <x:v>2.03</x:v>
      </x:c>
      <x:c r="Q417" s="114" t="n">
        <x:v>0</x:v>
      </x:c>
      <x:c r="R417" s="99" t="n">
        <x:v>2.03</x:v>
      </x:c>
      <x:c r="S417" s="99" t="n">
        <x:f>IFERROR(R417/L417,P417*(1-Q417))</x:f>
        <x:v>2.03</x:v>
      </x:c>
      <x:c r="T417" s="114" t="n">
        <x:v>0.03</x:v>
      </x:c>
      <x:c r="U417" s="99" t="n">
        <x:f>S417*(1+T417)</x:f>
        <x:v>2.0909</x:v>
      </x:c>
      <x:c r="V417" s="99" t="n">
        <x:f>S417</x:f>
        <x:v>2.03</x:v>
      </x:c>
      <x:c r="W417" s="99" t="n">
        <x:f>V417-S417</x:f>
        <x:v>0</x:v>
      </x:c>
      <x:c r="X417" s="114" t="n">
        <x:f>IFERROR(W417/V417,0)</x:f>
        <x:v>0</x:v>
      </x:c>
      <x:c r="Y417" s="38" t="str">
        <x:v>Por unidad</x:v>
      </x:c>
      <x:c r="Z417" s="38" t="str">
        <x:f>IF(Y417="Botella / 3 instalaciones","Precio botella / 3",IF(Y417="Por rollo o metros proporcionales","Si se pasa rollo: rollo completo. Si se pasan metros: proporcional",Y417))</x:f>
        <x:v>Por unidad</x:v>
      </x:c>
      <x:c r="AA417" s="38" t="n">
        <x:v>1</x:v>
      </x:c>
      <x:c r="AB417" s="38" t="str"/>
      <x:c r="AC417" s="38" t="str"/>
      <x:c r="AD417" s="116" t="str">
        <x:v>2026-06-30</x:v>
      </x:c>
      <x:c r="AE417" s="38" t="str">
        <x:v>No</x:v>
      </x:c>
      <x:c r="AF417" s="38" t="str"/>
    </x:row>
    <x:row r="418">
      <x:c r="A418" s="38" t="str">
        <x:v>MAT-0417</x:v>
      </x:c>
      <x:c r="B418" s="38" t="str">
        <x:v>Sí</x:v>
      </x:c>
      <x:c r="C418" s="38" t="str">
        <x:v>Pequeño material</x:v>
      </x:c>
      <x:c r="D418" s="38" t="str">
        <x:v>Consumible</x:v>
      </x:c>
      <x:c r="E418" s="38" t="str">
        <x:v>Cinta Aislante N10 25X25 Negr</x:v>
      </x:c>
      <x:c r="F418" s="38" t="str">
        <x:v>CINTA AISLANTE N10 25x25 NEGR</x:v>
      </x:c>
      <x:c r="G418" s="38" t="str">
        <x:v>PLY-5245 / 2990</x:v>
      </x:c>
      <x:c r="H418" s="38" t="str">
        <x:v>Comercial Eléctrica Canarias, S.A.</x:v>
      </x:c>
      <x:c r="I418" s="38" t="str">
        <x:v>Factura 92743225</x:v>
      </x:c>
      <x:c r="J418" s="115" t="str">
        <x:v>15/07/2025</x:v>
      </x:c>
      <x:c r="K418" s="38" t="str">
        <x:v>Albarán 303.539/001 (03/07/2025)</x:v>
      </x:c>
      <x:c r="L418" s="38" t="n">
        <x:v>1</x:v>
      </x:c>
      <x:c r="M418" s="38" t="str">
        <x:v>Unidad</x:v>
      </x:c>
      <x:c r="N418" s="38" t="n">
        <x:v>1</x:v>
      </x:c>
      <x:c r="O418" s="38" t="str">
        <x:v>Unidad</x:v>
      </x:c>
      <x:c r="P418" s="99" t="n">
        <x:v>1.573</x:v>
      </x:c>
      <x:c r="Q418" s="114" t="n">
        <x:v>0</x:v>
      </x:c>
      <x:c r="R418" s="99" t="n">
        <x:v>1.57</x:v>
      </x:c>
      <x:c r="S418" s="99" t="n">
        <x:f>IFERROR(R418/L418,P418*(1-Q418))</x:f>
        <x:v>1.57</x:v>
      </x:c>
      <x:c r="T418" s="114" t="n">
        <x:v>0.03</x:v>
      </x:c>
      <x:c r="U418" s="99" t="n">
        <x:f>S418*(1+T418)</x:f>
        <x:v>1.6171000000000002</x:v>
      </x:c>
      <x:c r="V418" s="99" t="n">
        <x:f>S418</x:f>
        <x:v>1.57</x:v>
      </x:c>
      <x:c r="W418" s="99" t="n">
        <x:f>V418-S418</x:f>
        <x:v>0</x:v>
      </x:c>
      <x:c r="X418" s="114" t="n">
        <x:f>IFERROR(W418/V418,0)</x:f>
        <x:v>0</x:v>
      </x:c>
      <x:c r="Y418" s="38" t="str">
        <x:v>Por unidad</x:v>
      </x:c>
      <x:c r="Z418" s="38" t="str">
        <x:f>IF(Y418="Botella / 3 instalaciones","Precio botella / 3",IF(Y418="Por rollo o metros proporcionales","Si se pasa rollo: rollo completo. Si se pasan metros: proporcional",Y418))</x:f>
        <x:v>Por unidad</x:v>
      </x:c>
      <x:c r="AA418" s="38" t="n">
        <x:v>1</x:v>
      </x:c>
      <x:c r="AB418" s="38" t="str"/>
      <x:c r="AC418" s="38" t="str"/>
      <x:c r="AD418" s="116" t="str">
        <x:v>2026-06-30</x:v>
      </x:c>
      <x:c r="AE418" s="38" t="str">
        <x:v>No</x:v>
      </x:c>
      <x:c r="AF418" s="38" t="str"/>
    </x:row>
    <x:row r="419">
      <x:c r="A419" s="38" t="str">
        <x:v>MAT-0418</x:v>
      </x:c>
      <x:c r="B419" s="38" t="str">
        <x:v>Sí</x:v>
      </x:c>
      <x:c r="C419" s="38" t="str">
        <x:v>Sin clasificar</x:v>
      </x:c>
      <x:c r="D419" s="38" t="str"/>
      <x:c r="E419" s="38" t="str">
        <x:v>Tubo Reflex M20</x:v>
      </x:c>
      <x:c r="F419" s="38" t="str">
        <x:v>TUBO REFLEX M20</x:v>
      </x:c>
      <x:c r="G419" s="38" t="str">
        <x:v>CAN-80100020 / 365</x:v>
      </x:c>
      <x:c r="H419" s="38" t="str">
        <x:v>Comercial Eléctrica Canarias, S.A.</x:v>
      </x:c>
      <x:c r="I419" s="38" t="str">
        <x:v>Factura 92964625</x:v>
      </x:c>
      <x:c r="J419" s="115" t="str">
        <x:v>31/07/2025</x:v>
      </x:c>
      <x:c r="K419" s="38" t="str">
        <x:v>Albarán 133.373/013 (17/07/2025)</x:v>
      </x:c>
      <x:c r="L419" s="38" t="n">
        <x:v>100</x:v>
      </x:c>
      <x:c r="M419" s="38" t="str">
        <x:v>m²</x:v>
      </x:c>
      <x:c r="N419" s="38" t="n">
        <x:v>1</x:v>
      </x:c>
      <x:c r="O419" s="38" t="str">
        <x:v>m²</x:v>
      </x:c>
      <x:c r="P419" s="99" t="n">
        <x:v>0.19</x:v>
      </x:c>
      <x:c r="Q419" s="114" t="n">
        <x:v>0</x:v>
      </x:c>
      <x:c r="R419" s="99" t="n">
        <x:v>19</x:v>
      </x:c>
      <x:c r="S419" s="99" t="n">
        <x:f>IFERROR(R419/L419,P419*(1-Q419))</x:f>
        <x:v>0.19</x:v>
      </x:c>
      <x:c r="T419" s="114" t="n">
        <x:v>0.03</x:v>
      </x:c>
      <x:c r="U419" s="99" t="n">
        <x:f>S419*(1+T419)</x:f>
        <x:v>0.1957</x:v>
      </x:c>
      <x:c r="V419" s="99" t="n">
        <x:f>S419</x:f>
        <x:v>0.19</x:v>
      </x:c>
      <x:c r="W419" s="99" t="n">
        <x:f>V419-S419</x:f>
        <x:v>0</x:v>
      </x:c>
      <x:c r="X419" s="114" t="n">
        <x:f>IFERROR(W419/V419,0)</x:f>
        <x:v>0</x:v>
      </x:c>
      <x:c r="Y419" s="38" t="str">
        <x:v>Por unidad</x:v>
      </x:c>
      <x:c r="Z419" s="38" t="str">
        <x:f>IF(Y419="Botella / 3 instalaciones","Precio botella / 3",IF(Y419="Por rollo o metros proporcionales","Si se pasa rollo: rollo completo. Si se pasan metros: proporcional",Y419))</x:f>
        <x:v>Por unidad</x:v>
      </x:c>
      <x:c r="AA419" s="38" t="n">
        <x:v>1</x:v>
      </x:c>
      <x:c r="AB419" s="38" t="str"/>
      <x:c r="AC419" s="38" t="str"/>
      <x:c r="AD419" s="116" t="str">
        <x:v>2026-06-30</x:v>
      </x:c>
      <x:c r="AE419" s="38" t="str">
        <x:v>Sí</x:v>
      </x:c>
      <x:c r="AF419" s="38" t="str">
        <x:v>Revisar categoría antes de usar en cálculo automático.</x:v>
      </x:c>
    </x:row>
    <x:row r="420">
      <x:c r="A420" s="38" t="str">
        <x:v>MAT-0419</x:v>
      </x:c>
      <x:c r="B420" s="38" t="str">
        <x:v>Sí</x:v>
      </x:c>
      <x:c r="C420" s="38" t="str">
        <x:v>Pequeño material</x:v>
      </x:c>
      <x:c r="D420" s="38" t="str">
        <x:v>Consumible</x:v>
      </x:c>
      <x:c r="E420" s="38" t="str">
        <x:v>Cinta Aislante N10 25X25 Rojo</x:v>
      </x:c>
      <x:c r="F420" s="38" t="str">
        <x:v>CINTA AISLANTE N10 25x25 ROJO</x:v>
      </x:c>
      <x:c r="G420" s="38" t="str">
        <x:v>PLY-5247 / 2971</x:v>
      </x:c>
      <x:c r="H420" s="38" t="str">
        <x:v>Comercial Eléctrica Canarias, S.A.</x:v>
      </x:c>
      <x:c r="I420" s="38" t="str">
        <x:v>Factura 92964625</x:v>
      </x:c>
      <x:c r="J420" s="115" t="str">
        <x:v>31/07/2025</x:v>
      </x:c>
      <x:c r="K420" s="38" t="str">
        <x:v>Albarán 133.373/013 (17/07/2025)</x:v>
      </x:c>
      <x:c r="L420" s="38" t="n">
        <x:v>1</x:v>
      </x:c>
      <x:c r="M420" s="38" t="str">
        <x:v>Unidad</x:v>
      </x:c>
      <x:c r="N420" s="38" t="n">
        <x:v>1</x:v>
      </x:c>
      <x:c r="O420" s="38" t="str">
        <x:v>Unidad</x:v>
      </x:c>
      <x:c r="P420" s="99" t="n">
        <x:v>1.573</x:v>
      </x:c>
      <x:c r="Q420" s="114" t="n">
        <x:v>0</x:v>
      </x:c>
      <x:c r="R420" s="99" t="n">
        <x:v>1.57</x:v>
      </x:c>
      <x:c r="S420" s="99" t="n">
        <x:f>IFERROR(R420/L420,P420*(1-Q420))</x:f>
        <x:v>1.57</x:v>
      </x:c>
      <x:c r="T420" s="114" t="n">
        <x:v>0.03</x:v>
      </x:c>
      <x:c r="U420" s="99" t="n">
        <x:f>S420*(1+T420)</x:f>
        <x:v>1.6171000000000002</x:v>
      </x:c>
      <x:c r="V420" s="99" t="n">
        <x:f>S420</x:f>
        <x:v>1.57</x:v>
      </x:c>
      <x:c r="W420" s="99" t="n">
        <x:f>V420-S420</x:f>
        <x:v>0</x:v>
      </x:c>
      <x:c r="X420" s="114" t="n">
        <x:f>IFERROR(W420/V420,0)</x:f>
        <x:v>0</x:v>
      </x:c>
      <x:c r="Y420" s="38" t="str">
        <x:v>Por unidad</x:v>
      </x:c>
      <x:c r="Z420" s="38" t="str">
        <x:f>IF(Y420="Botella / 3 instalaciones","Precio botella / 3",IF(Y420="Por rollo o metros proporcionales","Si se pasa rollo: rollo completo. Si se pasan metros: proporcional",Y420))</x:f>
        <x:v>Por unidad</x:v>
      </x:c>
      <x:c r="AA420" s="38" t="n">
        <x:v>1</x:v>
      </x:c>
      <x:c r="AB420" s="38" t="str"/>
      <x:c r="AC420" s="38" t="str"/>
      <x:c r="AD420" s="116" t="str">
        <x:v>2026-06-30</x:v>
      </x:c>
      <x:c r="AE420" s="38" t="str">
        <x:v>No</x:v>
      </x:c>
      <x:c r="AF420" s="38" t="str"/>
    </x:row>
    <x:row r="421">
      <x:c r="A421" s="38" t="str">
        <x:v>MAT-0420</x:v>
      </x:c>
      <x:c r="B421" s="38" t="str">
        <x:v>Sí</x:v>
      </x:c>
      <x:c r="C421" s="38" t="str">
        <x:v>Sin clasificar</x:v>
      </x:c>
      <x:c r="D421" s="38" t="str"/>
      <x:c r="E421" s="38" t="str">
        <x:v>Tubo Reflex M25</x:v>
      </x:c>
      <x:c r="F421" s="38" t="str">
        <x:v>TUBO REFLEX M25</x:v>
      </x:c>
      <x:c r="G421" s="38" t="str">
        <x:v>CAN-80100025 / 366</x:v>
      </x:c>
      <x:c r="H421" s="38" t="str">
        <x:v>Comercial Eléctrica Canarias, S.A.</x:v>
      </x:c>
      <x:c r="I421" s="38" t="str">
        <x:v>Factura 92964625</x:v>
      </x:c>
      <x:c r="J421" s="115" t="str">
        <x:v>31/07/2025</x:v>
      </x:c>
      <x:c r="K421" s="38" t="str">
        <x:v>Albarán 133.448/013 (22/07/2025)</x:v>
      </x:c>
      <x:c r="L421" s="38" t="n">
        <x:v>100</x:v>
      </x:c>
      <x:c r="M421" s="38" t="str">
        <x:v>m²</x:v>
      </x:c>
      <x:c r="N421" s="38" t="n">
        <x:v>1</x:v>
      </x:c>
      <x:c r="O421" s="38" t="str">
        <x:v>m²</x:v>
      </x:c>
      <x:c r="P421" s="99" t="n">
        <x:v>0.257</x:v>
      </x:c>
      <x:c r="Q421" s="114" t="n">
        <x:v>0</x:v>
      </x:c>
      <x:c r="R421" s="99" t="n">
        <x:v>25.7</x:v>
      </x:c>
      <x:c r="S421" s="99" t="n">
        <x:f>IFERROR(R421/L421,P421*(1-Q421))</x:f>
        <x:v>0.257</x:v>
      </x:c>
      <x:c r="T421" s="114" t="n">
        <x:v>0.03</x:v>
      </x:c>
      <x:c r="U421" s="99" t="n">
        <x:f>S421*(1+T421)</x:f>
        <x:v>0.26471</x:v>
      </x:c>
      <x:c r="V421" s="99" t="n">
        <x:f>S421</x:f>
        <x:v>0.257</x:v>
      </x:c>
      <x:c r="W421" s="99" t="n">
        <x:f>V421-S421</x:f>
        <x:v>0</x:v>
      </x:c>
      <x:c r="X421" s="114" t="n">
        <x:f>IFERROR(W421/V421,0)</x:f>
        <x:v>0</x:v>
      </x:c>
      <x:c r="Y421" s="38" t="str">
        <x:v>Por unidad</x:v>
      </x:c>
      <x:c r="Z421" s="38" t="str">
        <x:f>IF(Y421="Botella / 3 instalaciones","Precio botella / 3",IF(Y421="Por rollo o metros proporcionales","Si se pasa rollo: rollo completo. Si se pasan metros: proporcional",Y421))</x:f>
        <x:v>Por unidad</x:v>
      </x:c>
      <x:c r="AA421" s="38" t="n">
        <x:v>1</x:v>
      </x:c>
      <x:c r="AB421" s="38" t="str"/>
      <x:c r="AC421" s="38" t="str"/>
      <x:c r="AD421" s="116" t="str">
        <x:v>2026-06-30</x:v>
      </x:c>
      <x:c r="AE421" s="38" t="str">
        <x:v>Sí</x:v>
      </x:c>
      <x:c r="AF421" s="38" t="str">
        <x:v>Revisar categoría antes de usar en cálculo automático.</x:v>
      </x:c>
    </x:row>
    <x:row r="422">
      <x:c r="A422" s="38" t="str">
        <x:v>MAT-0421</x:v>
      </x:c>
      <x:c r="B422" s="38" t="str">
        <x:v>Sí</x:v>
      </x:c>
      <x:c r="C422" s="38" t="str">
        <x:v>Pequeño material</x:v>
      </x:c>
      <x:c r="D422" s="38" t="str">
        <x:v>Consumible</x:v>
      </x:c>
      <x:c r="E422" s="38" t="str">
        <x:v>Cinta Aislante N10 33X25 Blanc</x:v>
      </x:c>
      <x:c r="F422" s="38" t="str">
        <x:v>CINTA AISLANTE N10 33x25 BLANC</x:v>
      </x:c>
      <x:c r="G422" s="38" t="str">
        <x:v>PLY-5538 / 3088</x:v>
      </x:c>
      <x:c r="H422" s="38" t="str">
        <x:v>Comercial Eléctrica Canarias, S.A.</x:v>
      </x:c>
      <x:c r="I422" s="38" t="str">
        <x:v>Factura 92964625</x:v>
      </x:c>
      <x:c r="J422" s="115" t="str">
        <x:v>31/07/2025</x:v>
      </x:c>
      <x:c r="K422" s="38" t="str">
        <x:v>Albarán 133.448/013 (22/07/2025)</x:v>
      </x:c>
      <x:c r="L422" s="38" t="n">
        <x:v>1</x:v>
      </x:c>
      <x:c r="M422" s="38" t="str">
        <x:v>Unidad</x:v>
      </x:c>
      <x:c r="N422" s="38" t="n">
        <x:v>1</x:v>
      </x:c>
      <x:c r="O422" s="38" t="str">
        <x:v>Unidad</x:v>
      </x:c>
      <x:c r="P422" s="99" t="n">
        <x:v>2.03</x:v>
      </x:c>
      <x:c r="Q422" s="114" t="n">
        <x:v>0</x:v>
      </x:c>
      <x:c r="R422" s="99" t="n">
        <x:v>2.03</x:v>
      </x:c>
      <x:c r="S422" s="99" t="n">
        <x:f>IFERROR(R422/L422,P422*(1-Q422))</x:f>
        <x:v>2.03</x:v>
      </x:c>
      <x:c r="T422" s="114" t="n">
        <x:v>0.03</x:v>
      </x:c>
      <x:c r="U422" s="99" t="n">
        <x:f>S422*(1+T422)</x:f>
        <x:v>2.0909</x:v>
      </x:c>
      <x:c r="V422" s="99" t="n">
        <x:f>S422</x:f>
        <x:v>2.03</x:v>
      </x:c>
      <x:c r="W422" s="99" t="n">
        <x:f>V422-S422</x:f>
        <x:v>0</x:v>
      </x:c>
      <x:c r="X422" s="114" t="n">
        <x:f>IFERROR(W422/V422,0)</x:f>
        <x:v>0</x:v>
      </x:c>
      <x:c r="Y422" s="38" t="str">
        <x:v>Por unidad</x:v>
      </x:c>
      <x:c r="Z422" s="38" t="str">
        <x:f>IF(Y422="Botella / 3 instalaciones","Precio botella / 3",IF(Y422="Por rollo o metros proporcionales","Si se pasa rollo: rollo completo. Si se pasan metros: proporcional",Y422))</x:f>
        <x:v>Por unidad</x:v>
      </x:c>
      <x:c r="AA422" s="38" t="n">
        <x:v>1</x:v>
      </x:c>
      <x:c r="AB422" s="38" t="str"/>
      <x:c r="AC422" s="38" t="str"/>
      <x:c r="AD422" s="116" t="str">
        <x:v>2026-06-30</x:v>
      </x:c>
      <x:c r="AE422" s="38" t="str">
        <x:v>No</x:v>
      </x:c>
      <x:c r="AF422" s="38" t="str"/>
    </x:row>
    <x:row r="423">
      <x:c r="A423" s="38" t="str">
        <x:v>MAT-0422</x:v>
      </x:c>
      <x:c r="B423" s="38" t="str">
        <x:v>Sí</x:v>
      </x:c>
      <x:c r="C423" s="38" t="str">
        <x:v>Sin clasificar</x:v>
      </x:c>
      <x:c r="D423" s="38" t="str"/>
      <x:c r="E423" s="38" t="str">
        <x:v>Tubo Reflex M25</x:v>
      </x:c>
      <x:c r="F423" s="38" t="str">
        <x:v>TUBO REFLEX M25</x:v>
      </x:c>
      <x:c r="G423" s="38" t="str">
        <x:v>CAN-80100025 / 366</x:v>
      </x:c>
      <x:c r="H423" s="38" t="str">
        <x:v>Comercial Eléctrica Canarias, S.A.</x:v>
      </x:c>
      <x:c r="I423" s="38" t="str">
        <x:v>Factura 92964625</x:v>
      </x:c>
      <x:c r="J423" s="115" t="str">
        <x:v>31/07/2025</x:v>
      </x:c>
      <x:c r="K423" s="38" t="str">
        <x:v>Albarán 133.449/013 (22/07/2025)</x:v>
      </x:c>
      <x:c r="L423" s="38" t="n">
        <x:v>300</x:v>
      </x:c>
      <x:c r="M423" s="38" t="str">
        <x:v>m²</x:v>
      </x:c>
      <x:c r="N423" s="38" t="n">
        <x:v>1</x:v>
      </x:c>
      <x:c r="O423" s="38" t="str">
        <x:v>m²</x:v>
      </x:c>
      <x:c r="P423" s="99" t="n">
        <x:v>0.257</x:v>
      </x:c>
      <x:c r="Q423" s="114" t="n">
        <x:v>0</x:v>
      </x:c>
      <x:c r="R423" s="99" t="n">
        <x:v>77.1</x:v>
      </x:c>
      <x:c r="S423" s="99" t="n">
        <x:f>IFERROR(R423/L423,P423*(1-Q423))</x:f>
        <x:v>0.257</x:v>
      </x:c>
      <x:c r="T423" s="114" t="n">
        <x:v>0.03</x:v>
      </x:c>
      <x:c r="U423" s="99" t="n">
        <x:f>S423*(1+T423)</x:f>
        <x:v>0.26471</x:v>
      </x:c>
      <x:c r="V423" s="99" t="n">
        <x:f>S423</x:f>
        <x:v>0.257</x:v>
      </x:c>
      <x:c r="W423" s="99" t="n">
        <x:f>V423-S423</x:f>
        <x:v>0</x:v>
      </x:c>
      <x:c r="X423" s="114" t="n">
        <x:f>IFERROR(W423/V423,0)</x:f>
        <x:v>0</x:v>
      </x:c>
      <x:c r="Y423" s="38" t="str">
        <x:v>Por unidad</x:v>
      </x:c>
      <x:c r="Z423" s="38" t="str">
        <x:f>IF(Y423="Botella / 3 instalaciones","Precio botella / 3",IF(Y423="Por rollo o metros proporcionales","Si se pasa rollo: rollo completo. Si se pasan metros: proporcional",Y423))</x:f>
        <x:v>Por unidad</x:v>
      </x:c>
      <x:c r="AA423" s="38" t="n">
        <x:v>1</x:v>
      </x:c>
      <x:c r="AB423" s="38" t="str"/>
      <x:c r="AC423" s="38" t="str"/>
      <x:c r="AD423" s="116" t="str">
        <x:v>2026-06-30</x:v>
      </x:c>
      <x:c r="AE423" s="38" t="str">
        <x:v>Sí</x:v>
      </x:c>
      <x:c r="AF423" s="38" t="str">
        <x:v>Revisar categoría antes de usar en cálculo automático.</x:v>
      </x:c>
    </x:row>
    <x:row r="424">
      <x:c r="A424" s="38" t="str">
        <x:v>MAT-0423</x:v>
      </x:c>
      <x:c r="B424" s="38" t="str">
        <x:v>Sí</x:v>
      </x:c>
      <x:c r="C424" s="38" t="str">
        <x:v>Sin clasificar</x:v>
      </x:c>
      <x:c r="D424" s="38" t="str"/>
      <x:c r="E424" s="38" t="str">
        <x:v>Tubo Reflex M32</x:v>
      </x:c>
      <x:c r="F424" s="38" t="str">
        <x:v>TUBO REFLEX M32</x:v>
      </x:c>
      <x:c r="G424" s="38" t="str">
        <x:v>CAN-80100032 / 367</x:v>
      </x:c>
      <x:c r="H424" s="38" t="str">
        <x:v>Comercial Eléctrica Canarias, S.A.</x:v>
      </x:c>
      <x:c r="I424" s="38" t="str">
        <x:v>Factura 92964625</x:v>
      </x:c>
      <x:c r="J424" s="115" t="str">
        <x:v>31/07/2025</x:v>
      </x:c>
      <x:c r="K424" s="38" t="str">
        <x:v>Albarán 133.449/013 (22/07/2025)</x:v>
      </x:c>
      <x:c r="L424" s="38" t="n">
        <x:v>100</x:v>
      </x:c>
      <x:c r="M424" s="38" t="str">
        <x:v>Unidad</x:v>
      </x:c>
      <x:c r="N424" s="38" t="n">
        <x:v>1</x:v>
      </x:c>
      <x:c r="O424" s="38" t="str">
        <x:v>Unidad</x:v>
      </x:c>
      <x:c r="P424" s="99" t="n">
        <x:v>0.428</x:v>
      </x:c>
      <x:c r="Q424" s="114" t="n">
        <x:v>0</x:v>
      </x:c>
      <x:c r="R424" s="99" t="n">
        <x:v>42.8</x:v>
      </x:c>
      <x:c r="S424" s="99" t="n">
        <x:f>IFERROR(R424/L424,P424*(1-Q424))</x:f>
        <x:v>0.428</x:v>
      </x:c>
      <x:c r="T424" s="114" t="n">
        <x:v>0.03</x:v>
      </x:c>
      <x:c r="U424" s="99" t="n">
        <x:f>S424*(1+T424)</x:f>
        <x:v>0.44084</x:v>
      </x:c>
      <x:c r="V424" s="99" t="n">
        <x:f>S424</x:f>
        <x:v>0.428</x:v>
      </x:c>
      <x:c r="W424" s="99" t="n">
        <x:f>V424-S424</x:f>
        <x:v>0</x:v>
      </x:c>
      <x:c r="X424" s="114" t="n">
        <x:f>IFERROR(W424/V424,0)</x:f>
        <x:v>0</x:v>
      </x:c>
      <x:c r="Y424" s="38" t="str">
        <x:v>Por unidad</x:v>
      </x:c>
      <x:c r="Z424" s="38" t="str">
        <x:f>IF(Y424="Botella / 3 instalaciones","Precio botella / 3",IF(Y424="Por rollo o metros proporcionales","Si se pasa rollo: rollo completo. Si se pasan metros: proporcional",Y424))</x:f>
        <x:v>Por unidad</x:v>
      </x:c>
      <x:c r="AA424" s="38" t="n">
        <x:v>1</x:v>
      </x:c>
      <x:c r="AB424" s="38" t="str"/>
      <x:c r="AC424" s="38" t="str"/>
      <x:c r="AD424" s="116" t="str">
        <x:v>2026-06-30</x:v>
      </x:c>
      <x:c r="AE424" s="38" t="str">
        <x:v>Sí</x:v>
      </x:c>
      <x:c r="AF424" s="38" t="str">
        <x:v>Revisar categoría antes de usar en cálculo automático.</x:v>
      </x:c>
    </x:row>
    <x:row r="425">
      <x:c r="A425" s="38" t="str">
        <x:v>MAT-0424</x:v>
      </x:c>
      <x:c r="B425" s="38" t="str">
        <x:v>Sí</x:v>
      </x:c>
      <x:c r="C425" s="38" t="str">
        <x:v>Sin clasificar</x:v>
      </x:c>
      <x:c r="D425" s="38" t="str"/>
      <x:c r="E425" s="38" t="str">
        <x:v>Caja Registro Pt- 7 294X152X70</x:v>
      </x:c>
      <x:c r="F425" s="38" t="str">
        <x:v>CAJA REGISTRO PT- 7 294X152X70</x:v>
      </x:c>
      <x:c r="G425" s="38" t="str">
        <x:v>GEW-GW48007 / 948007</x:v>
      </x:c>
      <x:c r="H425" s="38" t="str">
        <x:v>Comercial Eléctrica Canarias, S.A.</x:v>
      </x:c>
      <x:c r="I425" s="38" t="str">
        <x:v>Factura 92964625</x:v>
      </x:c>
      <x:c r="J425" s="115" t="str">
        <x:v>31/07/2025</x:v>
      </x:c>
      <x:c r="K425" s="38" t="str">
        <x:v>Albarán 133.449/013 (22/07/2025)</x:v>
      </x:c>
      <x:c r="L425" s="38" t="n">
        <x:v>3</x:v>
      </x:c>
      <x:c r="M425" s="38" t="str">
        <x:v>Unidad</x:v>
      </x:c>
      <x:c r="N425" s="38" t="n">
        <x:v>1</x:v>
      </x:c>
      <x:c r="O425" s="38" t="str">
        <x:v>Unidad</x:v>
      </x:c>
      <x:c r="P425" s="99" t="n">
        <x:v>4.544</x:v>
      </x:c>
      <x:c r="Q425" s="114" t="n">
        <x:v>0</x:v>
      </x:c>
      <x:c r="R425" s="99" t="n">
        <x:v>13.63</x:v>
      </x:c>
      <x:c r="S425" s="99" t="n">
        <x:f>IFERROR(R425/L425,P425*(1-Q425))</x:f>
        <x:v>4.543333333333334</x:v>
      </x:c>
      <x:c r="T425" s="114" t="n">
        <x:v>0.07</x:v>
      </x:c>
      <x:c r="U425" s="99" t="n">
        <x:f>S425*(1+T425)</x:f>
        <x:v>4.861366666666668</x:v>
      </x:c>
      <x:c r="V425" s="99" t="n">
        <x:f>S425</x:f>
        <x:v>4.543333333333334</x:v>
      </x:c>
      <x:c r="W425" s="99" t="n">
        <x:f>V425-S425</x:f>
        <x:v>0</x:v>
      </x:c>
      <x:c r="X425" s="114" t="n">
        <x:f>IFERROR(W425/V425,0)</x:f>
        <x:v>0</x:v>
      </x:c>
      <x:c r="Y425" s="38" t="str">
        <x:v>Por unidad</x:v>
      </x:c>
      <x:c r="Z425" s="38" t="str">
        <x:f>IF(Y425="Botella / 3 instalaciones","Precio botella / 3",IF(Y425="Por rollo o metros proporcionales","Si se pasa rollo: rollo completo. Si se pasan metros: proporcional",Y425))</x:f>
        <x:v>Por unidad</x:v>
      </x:c>
      <x:c r="AA425" s="38" t="n">
        <x:v>1</x:v>
      </x:c>
      <x:c r="AB425" s="38" t="str"/>
      <x:c r="AC425" s="38" t="str"/>
      <x:c r="AD425" s="116" t="str">
        <x:v>2026-06-30</x:v>
      </x:c>
      <x:c r="AE425" s="38" t="str">
        <x:v>Sí</x:v>
      </x:c>
      <x:c r="AF425" s="38" t="str">
        <x:v>Revisar categoría antes de usar en cálculo automático.</x:v>
      </x:c>
    </x:row>
    <x:row r="426">
      <x:c r="A426" s="38" t="str">
        <x:v>MAT-0425</x:v>
      </x:c>
      <x:c r="B426" s="38" t="str">
        <x:v>Sí</x:v>
      </x:c>
      <x:c r="C426" s="38" t="str">
        <x:v>Electricidad</x:v>
      </x:c>
      <x:c r="D426" s="38" t="str">
        <x:v>Cable eléctrico</x:v>
      </x:c>
      <x:c r="E426" s="38" t="str">
        <x:v>Cable H07Z1-K Cpr 1X1.5 Negro</x:v>
      </x:c>
      <x:c r="F426" s="38" t="str">
        <x:v>CABLE H07Z1-K CPR 1X1.5 NEGRO</x:v>
      </x:c>
      <x:c r="G426" s="38" t="str">
        <x:v>CABLE / 555157</x:v>
      </x:c>
      <x:c r="H426" s="38" t="str">
        <x:v>Comercial Eléctrica Canarias, S.A.</x:v>
      </x:c>
      <x:c r="I426" s="38" t="str">
        <x:v>Factura 92964625</x:v>
      </x:c>
      <x:c r="J426" s="115" t="str">
        <x:v>31/07/2025</x:v>
      </x:c>
      <x:c r="K426" s="38" t="str">
        <x:v>Albarán 133.449/013 (22/07/2025)</x:v>
      </x:c>
      <x:c r="L426" s="38" t="n">
        <x:v>200</x:v>
      </x:c>
      <x:c r="M426" s="38" t="str">
        <x:v>Metro</x:v>
      </x:c>
      <x:c r="N426" s="38" t="n">
        <x:v>1</x:v>
      </x:c>
      <x:c r="O426" s="38" t="str">
        <x:v>Metro</x:v>
      </x:c>
      <x:c r="P426" s="99" t="n">
        <x:v>0.19</x:v>
      </x:c>
      <x:c r="Q426" s="114" t="n">
        <x:v>0</x:v>
      </x:c>
      <x:c r="R426" s="99" t="n">
        <x:v>38</x:v>
      </x:c>
      <x:c r="S426" s="99" t="n">
        <x:f>IFERROR(R426/L426,P426*(1-Q426))</x:f>
        <x:v>0.19</x:v>
      </x:c>
      <x:c r="T426" s="114" t="n">
        <x:v>0.07</x:v>
      </x:c>
      <x:c r="U426" s="99" t="n">
        <x:f>S426*(1+T426)</x:f>
        <x:v>0.2033</x:v>
      </x:c>
      <x:c r="V426" s="99" t="n">
        <x:f>S426</x:f>
        <x:v>0.19</x:v>
      </x:c>
      <x:c r="W426" s="99" t="n">
        <x:f>V426-S426</x:f>
        <x:v>0</x:v>
      </x:c>
      <x:c r="X426" s="114" t="n">
        <x:f>IFERROR(W426/V426,0)</x:f>
        <x:v>0</x:v>
      </x:c>
      <x:c r="Y426" s="38" t="str">
        <x:v>Por metros</x:v>
      </x:c>
      <x:c r="Z426" s="38" t="str">
        <x:f>IF(Y426="Botella / 3 instalaciones","Precio botella / 3",IF(Y426="Por rollo o metros proporcionales","Si se pasa rollo: rollo completo. Si se pasan metros: proporcional",Y426))</x:f>
        <x:v>Por metros</x:v>
      </x:c>
      <x:c r="AA426" s="38" t="n">
        <x:v>1</x:v>
      </x:c>
      <x:c r="AB426" s="38" t="str"/>
      <x:c r="AC426" s="38" t="str"/>
      <x:c r="AD426" s="116" t="str">
        <x:v>2026-06-30</x:v>
      </x:c>
      <x:c r="AE426" s="38" t="str">
        <x:v>No</x:v>
      </x:c>
      <x:c r="AF426" s="38" t="str"/>
    </x:row>
    <x:row r="427">
      <x:c r="A427" s="38" t="str">
        <x:v>MAT-0426</x:v>
      </x:c>
      <x:c r="B427" s="38" t="str">
        <x:v>Sí</x:v>
      </x:c>
      <x:c r="C427" s="38" t="str">
        <x:v>Electricidad</x:v>
      </x:c>
      <x:c r="D427" s="38" t="str">
        <x:v>Cable eléctrico</x:v>
      </x:c>
      <x:c r="E427" s="38" t="str">
        <x:v>Cable H07Z1-K Cpr 1X1.5 Azul</x:v>
      </x:c>
      <x:c r="F427" s="38" t="str">
        <x:v>CABLE H07Z1-K CPR 1X1.5 AZUL</x:v>
      </x:c>
      <x:c r="G427" s="38" t="str">
        <x:v>CABLE / 555160</x:v>
      </x:c>
      <x:c r="H427" s="38" t="str">
        <x:v>Comercial Eléctrica Canarias, S.A.</x:v>
      </x:c>
      <x:c r="I427" s="38" t="str">
        <x:v>Factura 92964625</x:v>
      </x:c>
      <x:c r="J427" s="115" t="str">
        <x:v>31/07/2025</x:v>
      </x:c>
      <x:c r="K427" s="38" t="str">
        <x:v>Albarán 133.449/013 (22/07/2025)</x:v>
      </x:c>
      <x:c r="L427" s="38" t="n">
        <x:v>200</x:v>
      </x:c>
      <x:c r="M427" s="38" t="str">
        <x:v>Metro</x:v>
      </x:c>
      <x:c r="N427" s="38" t="n">
        <x:v>1</x:v>
      </x:c>
      <x:c r="O427" s="38" t="str">
        <x:v>Metro</x:v>
      </x:c>
      <x:c r="P427" s="99" t="n">
        <x:v>0.19</x:v>
      </x:c>
      <x:c r="Q427" s="114" t="n">
        <x:v>0</x:v>
      </x:c>
      <x:c r="R427" s="99" t="n">
        <x:v>38</x:v>
      </x:c>
      <x:c r="S427" s="99" t="n">
        <x:f>IFERROR(R427/L427,P427*(1-Q427))</x:f>
        <x:v>0.19</x:v>
      </x:c>
      <x:c r="T427" s="114" t="n">
        <x:v>0.07</x:v>
      </x:c>
      <x:c r="U427" s="99" t="n">
        <x:f>S427*(1+T427)</x:f>
        <x:v>0.2033</x:v>
      </x:c>
      <x:c r="V427" s="99" t="n">
        <x:f>S427</x:f>
        <x:v>0.19</x:v>
      </x:c>
      <x:c r="W427" s="99" t="n">
        <x:f>V427-S427</x:f>
        <x:v>0</x:v>
      </x:c>
      <x:c r="X427" s="114" t="n">
        <x:f>IFERROR(W427/V427,0)</x:f>
        <x:v>0</x:v>
      </x:c>
      <x:c r="Y427" s="38" t="str">
        <x:v>Por metros</x:v>
      </x:c>
      <x:c r="Z427" s="38" t="str">
        <x:f>IF(Y427="Botella / 3 instalaciones","Precio botella / 3",IF(Y427="Por rollo o metros proporcionales","Si se pasa rollo: rollo completo. Si se pasan metros: proporcional",Y427))</x:f>
        <x:v>Por metros</x:v>
      </x:c>
      <x:c r="AA427" s="38" t="n">
        <x:v>1</x:v>
      </x:c>
      <x:c r="AB427" s="38" t="str"/>
      <x:c r="AC427" s="38" t="str"/>
      <x:c r="AD427" s="116" t="str">
        <x:v>2026-06-30</x:v>
      </x:c>
      <x:c r="AE427" s="38" t="str">
        <x:v>No</x:v>
      </x:c>
      <x:c r="AF427" s="38" t="str"/>
    </x:row>
    <x:row r="428">
      <x:c r="A428" s="38" t="str">
        <x:v>MAT-0427</x:v>
      </x:c>
      <x:c r="B428" s="38" t="str">
        <x:v>Sí</x:v>
      </x:c>
      <x:c r="C428" s="38" t="str">
        <x:v>Electricidad</x:v>
      </x:c>
      <x:c r="D428" s="38" t="str">
        <x:v>Cable eléctrico</x:v>
      </x:c>
      <x:c r="E428" s="38" t="str">
        <x:v>Cable H07Z1-K Cpr 1X1.5 Am/Vde</x:v>
      </x:c>
      <x:c r="F428" s="38" t="str">
        <x:v>CABLE H07Z1-K CPR 1X1.5 AM/VDE</x:v>
      </x:c>
      <x:c r="G428" s="38" t="str">
        <x:v>CABLE / 555161</x:v>
      </x:c>
      <x:c r="H428" s="38" t="str">
        <x:v>Comercial Eléctrica Canarias, S.A.</x:v>
      </x:c>
      <x:c r="I428" s="38" t="str">
        <x:v>Factura 92964625</x:v>
      </x:c>
      <x:c r="J428" s="115" t="str">
        <x:v>31/07/2025</x:v>
      </x:c>
      <x:c r="K428" s="38" t="str">
        <x:v>Albarán 133.449/013 (22/07/2025)</x:v>
      </x:c>
      <x:c r="L428" s="38" t="n">
        <x:v>200</x:v>
      </x:c>
      <x:c r="M428" s="38" t="str">
        <x:v>Metro</x:v>
      </x:c>
      <x:c r="N428" s="38" t="n">
        <x:v>1</x:v>
      </x:c>
      <x:c r="O428" s="38" t="str">
        <x:v>Metro</x:v>
      </x:c>
      <x:c r="P428" s="99" t="n">
        <x:v>0.19</x:v>
      </x:c>
      <x:c r="Q428" s="114" t="n">
        <x:v>0</x:v>
      </x:c>
      <x:c r="R428" s="99" t="n">
        <x:v>38</x:v>
      </x:c>
      <x:c r="S428" s="99" t="n">
        <x:f>IFERROR(R428/L428,P428*(1-Q428))</x:f>
        <x:v>0.19</x:v>
      </x:c>
      <x:c r="T428" s="114" t="n">
        <x:v>0.07</x:v>
      </x:c>
      <x:c r="U428" s="99" t="n">
        <x:f>S428*(1+T428)</x:f>
        <x:v>0.2033</x:v>
      </x:c>
      <x:c r="V428" s="99" t="n">
        <x:f>S428</x:f>
        <x:v>0.19</x:v>
      </x:c>
      <x:c r="W428" s="99" t="n">
        <x:f>V428-S428</x:f>
        <x:v>0</x:v>
      </x:c>
      <x:c r="X428" s="114" t="n">
        <x:f>IFERROR(W428/V428,0)</x:f>
        <x:v>0</x:v>
      </x:c>
      <x:c r="Y428" s="38" t="str">
        <x:v>Por metros</x:v>
      </x:c>
      <x:c r="Z428" s="38" t="str">
        <x:f>IF(Y428="Botella / 3 instalaciones","Precio botella / 3",IF(Y428="Por rollo o metros proporcionales","Si se pasa rollo: rollo completo. Si se pasan metros: proporcional",Y428))</x:f>
        <x:v>Por metros</x:v>
      </x:c>
      <x:c r="AA428" s="38" t="n">
        <x:v>1</x:v>
      </x:c>
      <x:c r="AB428" s="38" t="str"/>
      <x:c r="AC428" s="38" t="str"/>
      <x:c r="AD428" s="116" t="str">
        <x:v>2026-06-30</x:v>
      </x:c>
      <x:c r="AE428" s="38" t="str">
        <x:v>No</x:v>
      </x:c>
      <x:c r="AF428" s="38" t="str"/>
    </x:row>
    <x:row r="429">
      <x:c r="A429" s="38" t="str">
        <x:v>MAT-0428</x:v>
      </x:c>
      <x:c r="B429" s="38" t="str">
        <x:v>Sí</x:v>
      </x:c>
      <x:c r="C429" s="38" t="str">
        <x:v>Electricidad</x:v>
      </x:c>
      <x:c r="D429" s="38" t="str">
        <x:v>Cable eléctrico</x:v>
      </x:c>
      <x:c r="E429" s="38" t="str">
        <x:v>Cable H07Z1-K Cpr 1X2.5 Negro</x:v>
      </x:c>
      <x:c r="F429" s="38" t="str">
        <x:v>CABLE H07Z1-K CPR 1X2.5 NEGRO</x:v>
      </x:c>
      <x:c r="G429" s="38" t="str">
        <x:v>CABLE / 555162</x:v>
      </x:c>
      <x:c r="H429" s="38" t="str">
        <x:v>Comercial Eléctrica Canarias, S.A.</x:v>
      </x:c>
      <x:c r="I429" s="38" t="str">
        <x:v>Factura 92964625</x:v>
      </x:c>
      <x:c r="J429" s="115" t="str">
        <x:v>31/07/2025</x:v>
      </x:c>
      <x:c r="K429" s="38" t="str">
        <x:v>Albarán 133.449/013 (22/07/2025)</x:v>
      </x:c>
      <x:c r="L429" s="38" t="n">
        <x:v>200</x:v>
      </x:c>
      <x:c r="M429" s="38" t="str">
        <x:v>Metro</x:v>
      </x:c>
      <x:c r="N429" s="38" t="n">
        <x:v>1</x:v>
      </x:c>
      <x:c r="O429" s="38" t="str">
        <x:v>Metro</x:v>
      </x:c>
      <x:c r="P429" s="99" t="n">
        <x:v>0.3</x:v>
      </x:c>
      <x:c r="Q429" s="114" t="n">
        <x:v>0</x:v>
      </x:c>
      <x:c r="R429" s="99" t="n">
        <x:v>60</x:v>
      </x:c>
      <x:c r="S429" s="99" t="n">
        <x:f>IFERROR(R429/L429,P429*(1-Q429))</x:f>
        <x:v>0.3</x:v>
      </x:c>
      <x:c r="T429" s="114" t="n">
        <x:v>0.07</x:v>
      </x:c>
      <x:c r="U429" s="99" t="n">
        <x:f>S429*(1+T429)</x:f>
        <x:v>0.321</x:v>
      </x:c>
      <x:c r="V429" s="99" t="n">
        <x:f>S429</x:f>
        <x:v>0.3</x:v>
      </x:c>
      <x:c r="W429" s="99" t="n">
        <x:f>V429-S429</x:f>
        <x:v>0</x:v>
      </x:c>
      <x:c r="X429" s="114" t="n">
        <x:f>IFERROR(W429/V429,0)</x:f>
        <x:v>0</x:v>
      </x:c>
      <x:c r="Y429" s="38" t="str">
        <x:v>Por metros</x:v>
      </x:c>
      <x:c r="Z429" s="38" t="str">
        <x:f>IF(Y429="Botella / 3 instalaciones","Precio botella / 3",IF(Y429="Por rollo o metros proporcionales","Si se pasa rollo: rollo completo. Si se pasan metros: proporcional",Y429))</x:f>
        <x:v>Por metros</x:v>
      </x:c>
      <x:c r="AA429" s="38" t="n">
        <x:v>1</x:v>
      </x:c>
      <x:c r="AB429" s="38" t="str"/>
      <x:c r="AC429" s="38" t="str"/>
      <x:c r="AD429" s="116" t="str">
        <x:v>2026-06-30</x:v>
      </x:c>
      <x:c r="AE429" s="38" t="str">
        <x:v>No</x:v>
      </x:c>
      <x:c r="AF429" s="38" t="str"/>
    </x:row>
    <x:row r="430">
      <x:c r="A430" s="38" t="str">
        <x:v>MAT-0429</x:v>
      </x:c>
      <x:c r="B430" s="38" t="str">
        <x:v>Sí</x:v>
      </x:c>
      <x:c r="C430" s="38" t="str">
        <x:v>Electricidad</x:v>
      </x:c>
      <x:c r="D430" s="38" t="str">
        <x:v>Cable eléctrico</x:v>
      </x:c>
      <x:c r="E430" s="38" t="str">
        <x:v>Cable H07Z1-K Cpr 1X2.5 Azul</x:v>
      </x:c>
      <x:c r="F430" s="38" t="str">
        <x:v>CABLE H07Z1-K CPR 1X2.5 AZUL</x:v>
      </x:c>
      <x:c r="G430" s="38" t="str">
        <x:v>CABLE / 555165</x:v>
      </x:c>
      <x:c r="H430" s="38" t="str">
        <x:v>Comercial Eléctrica Canarias, S.A.</x:v>
      </x:c>
      <x:c r="I430" s="38" t="str">
        <x:v>Factura 92964625</x:v>
      </x:c>
      <x:c r="J430" s="115" t="str">
        <x:v>31/07/2025</x:v>
      </x:c>
      <x:c r="K430" s="38" t="str">
        <x:v>Albarán 133.449/013 (22/07/2025)</x:v>
      </x:c>
      <x:c r="L430" s="38" t="n">
        <x:v>200</x:v>
      </x:c>
      <x:c r="M430" s="38" t="str">
        <x:v>Metro</x:v>
      </x:c>
      <x:c r="N430" s="38" t="n">
        <x:v>1</x:v>
      </x:c>
      <x:c r="O430" s="38" t="str">
        <x:v>Metro</x:v>
      </x:c>
      <x:c r="P430" s="99" t="n">
        <x:v>0.3</x:v>
      </x:c>
      <x:c r="Q430" s="114" t="n">
        <x:v>0</x:v>
      </x:c>
      <x:c r="R430" s="99" t="n">
        <x:v>60</x:v>
      </x:c>
      <x:c r="S430" s="99" t="n">
        <x:f>IFERROR(R430/L430,P430*(1-Q430))</x:f>
        <x:v>0.3</x:v>
      </x:c>
      <x:c r="T430" s="114" t="n">
        <x:v>0.07</x:v>
      </x:c>
      <x:c r="U430" s="99" t="n">
        <x:f>S430*(1+T430)</x:f>
        <x:v>0.321</x:v>
      </x:c>
      <x:c r="V430" s="99" t="n">
        <x:f>S430</x:f>
        <x:v>0.3</x:v>
      </x:c>
      <x:c r="W430" s="99" t="n">
        <x:f>V430-S430</x:f>
        <x:v>0</x:v>
      </x:c>
      <x:c r="X430" s="114" t="n">
        <x:f>IFERROR(W430/V430,0)</x:f>
        <x:v>0</x:v>
      </x:c>
      <x:c r="Y430" s="38" t="str">
        <x:v>Por metros</x:v>
      </x:c>
      <x:c r="Z430" s="38" t="str">
        <x:f>IF(Y430="Botella / 3 instalaciones","Precio botella / 3",IF(Y430="Por rollo o metros proporcionales","Si se pasa rollo: rollo completo. Si se pasan metros: proporcional",Y430))</x:f>
        <x:v>Por metros</x:v>
      </x:c>
      <x:c r="AA430" s="38" t="n">
        <x:v>1</x:v>
      </x:c>
      <x:c r="AB430" s="38" t="str"/>
      <x:c r="AC430" s="38" t="str"/>
      <x:c r="AD430" s="116" t="str">
        <x:v>2026-06-30</x:v>
      </x:c>
      <x:c r="AE430" s="38" t="str">
        <x:v>No</x:v>
      </x:c>
      <x:c r="AF430" s="38" t="str"/>
    </x:row>
    <x:row r="431">
      <x:c r="A431" s="38" t="str">
        <x:v>MAT-0430</x:v>
      </x:c>
      <x:c r="B431" s="38" t="str">
        <x:v>Sí</x:v>
      </x:c>
      <x:c r="C431" s="38" t="str">
        <x:v>Electricidad</x:v>
      </x:c>
      <x:c r="D431" s="38" t="str">
        <x:v>Cable eléctrico</x:v>
      </x:c>
      <x:c r="E431" s="38" t="str">
        <x:v>Cable H07Z1-K Cpr 1X2.5 Am/Vde</x:v>
      </x:c>
      <x:c r="F431" s="38" t="str">
        <x:v>CABLE H07Z1-K CPR 1X2.5 AM/VDE</x:v>
      </x:c>
      <x:c r="G431" s="38" t="str">
        <x:v>CABLE / 555166</x:v>
      </x:c>
      <x:c r="H431" s="38" t="str">
        <x:v>Comercial Eléctrica Canarias, S.A.</x:v>
      </x:c>
      <x:c r="I431" s="38" t="str">
        <x:v>Factura 92964625</x:v>
      </x:c>
      <x:c r="J431" s="115" t="str">
        <x:v>31/07/2025</x:v>
      </x:c>
      <x:c r="K431" s="38" t="str">
        <x:v>Albarán 133.449/013 (22/07/2025)</x:v>
      </x:c>
      <x:c r="L431" s="38" t="n">
        <x:v>200</x:v>
      </x:c>
      <x:c r="M431" s="38" t="str">
        <x:v>Metro</x:v>
      </x:c>
      <x:c r="N431" s="38" t="n">
        <x:v>1</x:v>
      </x:c>
      <x:c r="O431" s="38" t="str">
        <x:v>Metro</x:v>
      </x:c>
      <x:c r="P431" s="99" t="n">
        <x:v>0.3</x:v>
      </x:c>
      <x:c r="Q431" s="114" t="n">
        <x:v>0</x:v>
      </x:c>
      <x:c r="R431" s="99" t="n">
        <x:v>60</x:v>
      </x:c>
      <x:c r="S431" s="99" t="n">
        <x:f>IFERROR(R431/L431,P431*(1-Q431))</x:f>
        <x:v>0.3</x:v>
      </x:c>
      <x:c r="T431" s="114" t="n">
        <x:v>0.07</x:v>
      </x:c>
      <x:c r="U431" s="99" t="n">
        <x:f>S431*(1+T431)</x:f>
        <x:v>0.321</x:v>
      </x:c>
      <x:c r="V431" s="99" t="n">
        <x:f>S431</x:f>
        <x:v>0.3</x:v>
      </x:c>
      <x:c r="W431" s="99" t="n">
        <x:f>V431-S431</x:f>
        <x:v>0</x:v>
      </x:c>
      <x:c r="X431" s="114" t="n">
        <x:f>IFERROR(W431/V431,0)</x:f>
        <x:v>0</x:v>
      </x:c>
      <x:c r="Y431" s="38" t="str">
        <x:v>Por metros</x:v>
      </x:c>
      <x:c r="Z431" s="38" t="str">
        <x:f>IF(Y431="Botella / 3 instalaciones","Precio botella / 3",IF(Y431="Por rollo o metros proporcionales","Si se pasa rollo: rollo completo. Si se pasan metros: proporcional",Y431))</x:f>
        <x:v>Por metros</x:v>
      </x:c>
      <x:c r="AA431" s="38" t="n">
        <x:v>1</x:v>
      </x:c>
      <x:c r="AB431" s="38" t="str"/>
      <x:c r="AC431" s="38" t="str"/>
      <x:c r="AD431" s="116" t="str">
        <x:v>2026-06-30</x:v>
      </x:c>
      <x:c r="AE431" s="38" t="str">
        <x:v>No</x:v>
      </x:c>
      <x:c r="AF431" s="38" t="str"/>
    </x:row>
    <x:row r="432">
      <x:c r="A432" s="38" t="str">
        <x:v>MAT-0431</x:v>
      </x:c>
      <x:c r="B432" s="38" t="str">
        <x:v>Sí</x:v>
      </x:c>
      <x:c r="C432" s="38" t="str">
        <x:v>Electricidad</x:v>
      </x:c>
      <x:c r="D432" s="38" t="str">
        <x:v>Cable eléctrico</x:v>
      </x:c>
      <x:c r="E432" s="38" t="str">
        <x:v>Cable Rz1-K Cpr 0.6/1Kv 4G1.5</x:v>
      </x:c>
      <x:c r="F432" s="38" t="str">
        <x:v>CABLE RZ1-K CPR 0.6/1KV 4G1.5</x:v>
      </x:c>
      <x:c r="G432" s="38" t="str">
        <x:v>CABLE / 5551446</x:v>
      </x:c>
      <x:c r="H432" s="38" t="str">
        <x:v>Comercial Eléctrica Canarias, S.A.</x:v>
      </x:c>
      <x:c r="I432" s="38" t="str">
        <x:v>Factura 92964625</x:v>
      </x:c>
      <x:c r="J432" s="115" t="str">
        <x:v>31/07/2025</x:v>
      </x:c>
      <x:c r="K432" s="38" t="str">
        <x:v>Albarán 133.594/013 (31/07/2025)</x:v>
      </x:c>
      <x:c r="L432" s="38" t="n">
        <x:v>45</x:v>
      </x:c>
      <x:c r="M432" s="38" t="str">
        <x:v>Metro</x:v>
      </x:c>
      <x:c r="N432" s="38" t="n">
        <x:v>1</x:v>
      </x:c>
      <x:c r="O432" s="38" t="str">
        <x:v>Metro</x:v>
      </x:c>
      <x:c r="P432" s="99" t="n">
        <x:v>1.105</x:v>
      </x:c>
      <x:c r="Q432" s="114" t="n">
        <x:v>0</x:v>
      </x:c>
      <x:c r="R432" s="99" t="n">
        <x:v>49.73</x:v>
      </x:c>
      <x:c r="S432" s="99" t="n">
        <x:f>IFERROR(R432/L432,P432*(1-Q432))</x:f>
        <x:v>1.105111111111111</x:v>
      </x:c>
      <x:c r="T432" s="114" t="n">
        <x:v>0.07</x:v>
      </x:c>
      <x:c r="U432" s="99" t="n">
        <x:f>S432*(1+T432)</x:f>
        <x:v>1.1824688888888888</x:v>
      </x:c>
      <x:c r="V432" s="99" t="n">
        <x:f>S432</x:f>
        <x:v>1.105111111111111</x:v>
      </x:c>
      <x:c r="W432" s="99" t="n">
        <x:f>V432-S432</x:f>
        <x:v>0</x:v>
      </x:c>
      <x:c r="X432" s="114" t="n">
        <x:f>IFERROR(W432/V432,0)</x:f>
        <x:v>0</x:v>
      </x:c>
      <x:c r="Y432" s="38" t="str">
        <x:v>Por metros</x:v>
      </x:c>
      <x:c r="Z432" s="38" t="str">
        <x:f>IF(Y432="Botella / 3 instalaciones","Precio botella / 3",IF(Y432="Por rollo o metros proporcionales","Si se pasa rollo: rollo completo. Si se pasan metros: proporcional",Y432))</x:f>
        <x:v>Por metros</x:v>
      </x:c>
      <x:c r="AA432" s="38" t="n">
        <x:v>1</x:v>
      </x:c>
      <x:c r="AB432" s="38" t="str"/>
      <x:c r="AC432" s="38" t="str"/>
      <x:c r="AD432" s="116" t="str">
        <x:v>2026-06-30</x:v>
      </x:c>
      <x:c r="AE432" s="38" t="str">
        <x:v>No</x:v>
      </x:c>
      <x:c r="AF432" s="38" t="str"/>
    </x:row>
    <x:row r="433">
      <x:c r="A433" s="38" t="str">
        <x:v>MAT-0432</x:v>
      </x:c>
      <x:c r="B433" s="38" t="str">
        <x:v>Sí</x:v>
      </x:c>
      <x:c r="C433" s="38" t="str">
        <x:v>Electricidad</x:v>
      </x:c>
      <x:c r="D433" s="38" t="str">
        <x:v>Cable eléctrico</x:v>
      </x:c>
      <x:c r="E433" s="38" t="str">
        <x:v>Cable Rz1-K Cpr 0.6/1Kv 4G1.5</x:v>
      </x:c>
      <x:c r="F433" s="38" t="str">
        <x:v>CABLE RZ1-K CPR 0.6/1KV 4G1.5</x:v>
      </x:c>
      <x:c r="G433" s="38" t="str">
        <x:v>CABLE / 5551446</x:v>
      </x:c>
      <x:c r="H433" s="38" t="str">
        <x:v>Comercial Eléctrica Canarias, S.A.</x:v>
      </x:c>
      <x:c r="I433" s="38" t="str">
        <x:v>Factura 92320225</x:v>
      </x:c>
      <x:c r="J433" s="115" t="str">
        <x:v>15/06/2025</x:v>
      </x:c>
      <x:c r="K433" s="38" t="str">
        <x:v>Albarán 132.611/013 (05/06/2025)</x:v>
      </x:c>
      <x:c r="L433" s="38" t="n">
        <x:v>200</x:v>
      </x:c>
      <x:c r="M433" s="38" t="str">
        <x:v>Metro</x:v>
      </x:c>
      <x:c r="N433" s="38" t="n">
        <x:v>1</x:v>
      </x:c>
      <x:c r="O433" s="38" t="str">
        <x:v>Metro</x:v>
      </x:c>
      <x:c r="P433" s="99" t="n">
        <x:v>1.1</x:v>
      </x:c>
      <x:c r="Q433" s="114" t="n">
        <x:v>0</x:v>
      </x:c>
      <x:c r="R433" s="99" t="n">
        <x:v>220</x:v>
      </x:c>
      <x:c r="S433" s="99" t="n">
        <x:f>IFERROR(R433/L433,P433*(1-Q433))</x:f>
        <x:v>1.1</x:v>
      </x:c>
      <x:c r="T433" s="114" t="n">
        <x:v>0.07</x:v>
      </x:c>
      <x:c r="U433" s="99" t="n">
        <x:f>S433*(1+T433)</x:f>
        <x:v>1.1770000000000003</x:v>
      </x:c>
      <x:c r="V433" s="99" t="n">
        <x:f>S433</x:f>
        <x:v>1.1</x:v>
      </x:c>
      <x:c r="W433" s="99" t="n">
        <x:f>V433-S433</x:f>
        <x:v>0</x:v>
      </x:c>
      <x:c r="X433" s="114" t="n">
        <x:f>IFERROR(W433/V433,0)</x:f>
        <x:v>0</x:v>
      </x:c>
      <x:c r="Y433" s="38" t="str">
        <x:v>Por metros</x:v>
      </x:c>
      <x:c r="Z433" s="38" t="str">
        <x:f>IF(Y433="Botella / 3 instalaciones","Precio botella / 3",IF(Y433="Por rollo o metros proporcionales","Si se pasa rollo: rollo completo. Si se pasan metros: proporcional",Y433))</x:f>
        <x:v>Por metros</x:v>
      </x:c>
      <x:c r="AA433" s="38" t="n">
        <x:v>1</x:v>
      </x:c>
      <x:c r="AB433" s="38" t="str"/>
      <x:c r="AC433" s="38" t="str"/>
      <x:c r="AD433" s="116" t="str">
        <x:v>2026-06-30</x:v>
      </x:c>
      <x:c r="AE433" s="38" t="str">
        <x:v>No</x:v>
      </x:c>
      <x:c r="AF433" s="38" t="str"/>
    </x:row>
    <x:row r="434">
      <x:c r="A434" s="38" t="str">
        <x:v>MAT-0433</x:v>
      </x:c>
      <x:c r="B434" s="38" t="str">
        <x:v>Sí</x:v>
      </x:c>
      <x:c r="C434" s="38" t="str">
        <x:v>Electricidad</x:v>
      </x:c>
      <x:c r="D434" s="38" t="str">
        <x:v>Cable eléctrico</x:v>
      </x:c>
      <x:c r="E434" s="38" t="str">
        <x:v>Cable Rz1K Cpr 06/1Kv 3G6 C/Av</x:v>
      </x:c>
      <x:c r="F434" s="38" t="str">
        <x:v>CABLE RZ1K CPR 06/1KV 3G6 C/AV</x:v>
      </x:c>
      <x:c r="G434" s="38" t="str">
        <x:v>CABLE / 5551438</x:v>
      </x:c>
      <x:c r="H434" s="38" t="str">
        <x:v>Comercial Eléctrica Canarias, S.A.</x:v>
      </x:c>
      <x:c r="I434" s="38" t="str">
        <x:v>Factura 92320225</x:v>
      </x:c>
      <x:c r="J434" s="115" t="str">
        <x:v>15/06/2025</x:v>
      </x:c>
      <x:c r="K434" s="38" t="str">
        <x:v>Albarán 132.611/013 (05/06/2025)</x:v>
      </x:c>
      <x:c r="L434" s="38" t="n">
        <x:v>150</x:v>
      </x:c>
      <x:c r="M434" s="38" t="str">
        <x:v>Metro</x:v>
      </x:c>
      <x:c r="N434" s="38" t="n">
        <x:v>1</x:v>
      </x:c>
      <x:c r="O434" s="38" t="str">
        <x:v>Metro</x:v>
      </x:c>
      <x:c r="P434" s="99" t="n">
        <x:v>2.68</x:v>
      </x:c>
      <x:c r="Q434" s="114" t="n">
        <x:v>0</x:v>
      </x:c>
      <x:c r="R434" s="99" t="n">
        <x:v>402</x:v>
      </x:c>
      <x:c r="S434" s="99" t="n">
        <x:f>IFERROR(R434/L434,P434*(1-Q434))</x:f>
        <x:v>2.68</x:v>
      </x:c>
      <x:c r="T434" s="114" t="n">
        <x:v>0.07</x:v>
      </x:c>
      <x:c r="U434" s="99" t="n">
        <x:f>S434*(1+T434)</x:f>
        <x:v>2.8676000000000004</x:v>
      </x:c>
      <x:c r="V434" s="99" t="n">
        <x:f>S434</x:f>
        <x:v>2.68</x:v>
      </x:c>
      <x:c r="W434" s="99" t="n">
        <x:f>V434-S434</x:f>
        <x:v>0</x:v>
      </x:c>
      <x:c r="X434" s="114" t="n">
        <x:f>IFERROR(W434/V434,0)</x:f>
        <x:v>0</x:v>
      </x:c>
      <x:c r="Y434" s="38" t="str">
        <x:v>Por metros</x:v>
      </x:c>
      <x:c r="Z434" s="38" t="str">
        <x:f>IF(Y434="Botella / 3 instalaciones","Precio botella / 3",IF(Y434="Por rollo o metros proporcionales","Si se pasa rollo: rollo completo. Si se pasan metros: proporcional",Y434))</x:f>
        <x:v>Por metros</x:v>
      </x:c>
      <x:c r="AA434" s="38" t="n">
        <x:v>1</x:v>
      </x:c>
      <x:c r="AB434" s="38" t="str"/>
      <x:c r="AC434" s="38" t="str"/>
      <x:c r="AD434" s="116" t="str">
        <x:v>2026-06-30</x:v>
      </x:c>
      <x:c r="AE434" s="38" t="str">
        <x:v>No</x:v>
      </x:c>
      <x:c r="AF434" s="38" t="str"/>
    </x:row>
    <x:row r="435">
      <x:c r="A435" s="38" t="str">
        <x:v>MAT-0434</x:v>
      </x:c>
      <x:c r="B435" s="38" t="str">
        <x:v>Sí</x:v>
      </x:c>
      <x:c r="C435" s="38" t="str">
        <x:v>Sin clasificar</x:v>
      </x:c>
      <x:c r="D435" s="38" t="str"/>
      <x:c r="E435" s="38" t="str">
        <x:v>Tubo Corru.L.H.34223 Gris M25R</x:v>
      </x:c>
      <x:c r="F435" s="38" t="str">
        <x:v>TUBO CORRU.L.H.34223 GRIS M25R</x:v>
      </x:c>
      <x:c r="G435" s="38" t="str">
        <x:v>GEW-DX20025R / 9200258</x:v>
      </x:c>
      <x:c r="H435" s="38" t="str">
        <x:v>Comercial Eléctrica Canarias, S.A.</x:v>
      </x:c>
      <x:c r="I435" s="38" t="str">
        <x:v>Factura 92320225</x:v>
      </x:c>
      <x:c r="J435" s="115" t="str">
        <x:v>15/06/2025</x:v>
      </x:c>
      <x:c r="K435" s="38" t="str">
        <x:v>Albarán 132.722/013 (12/06/2025)</x:v>
      </x:c>
      <x:c r="L435" s="38" t="n">
        <x:v>75</x:v>
      </x:c>
      <x:c r="M435" s="38" t="str">
        <x:v>m²</x:v>
      </x:c>
      <x:c r="N435" s="38" t="n">
        <x:v>1</x:v>
      </x:c>
      <x:c r="O435" s="38" t="str">
        <x:v>m²</x:v>
      </x:c>
      <x:c r="P435" s="99" t="n">
        <x:v>0.729</x:v>
      </x:c>
      <x:c r="Q435" s="114" t="n">
        <x:v>0</x:v>
      </x:c>
      <x:c r="R435" s="99" t="n">
        <x:v>54.68</x:v>
      </x:c>
      <x:c r="S435" s="99" t="n">
        <x:f>IFERROR(R435/L435,P435*(1-Q435))</x:f>
        <x:v>0.7290666666666666</x:v>
      </x:c>
      <x:c r="T435" s="114" t="n">
        <x:v>0.03</x:v>
      </x:c>
      <x:c r="U435" s="99" t="n">
        <x:f>S435*(1+T435)</x:f>
        <x:v>0.7509386666666666</x:v>
      </x:c>
      <x:c r="V435" s="99" t="n">
        <x:f>S435</x:f>
        <x:v>0.7290666666666666</x:v>
      </x:c>
      <x:c r="W435" s="99" t="n">
        <x:f>V435-S435</x:f>
        <x:v>0</x:v>
      </x:c>
      <x:c r="X435" s="114" t="n">
        <x:f>IFERROR(W435/V435,0)</x:f>
        <x:v>0</x:v>
      </x:c>
      <x:c r="Y435" s="38" t="str">
        <x:v>Por unidad</x:v>
      </x:c>
      <x:c r="Z435" s="38" t="str">
        <x:f>IF(Y435="Botella / 3 instalaciones","Precio botella / 3",IF(Y435="Por rollo o metros proporcionales","Si se pasa rollo: rollo completo. Si se pasan metros: proporcional",Y435))</x:f>
        <x:v>Por unidad</x:v>
      </x:c>
      <x:c r="AA435" s="38" t="n">
        <x:v>1</x:v>
      </x:c>
      <x:c r="AB435" s="38" t="str"/>
      <x:c r="AC435" s="38" t="str"/>
      <x:c r="AD435" s="116" t="str">
        <x:v>2026-06-30</x:v>
      </x:c>
      <x:c r="AE435" s="38" t="str">
        <x:v>Sí</x:v>
      </x:c>
      <x:c r="AF435" s="38" t="str">
        <x:v>Revisar categoría antes de usar en cálculo automático.</x:v>
      </x:c>
    </x:row>
    <x:row r="436">
      <x:c r="A436" s="38" t="str">
        <x:v>MAT-0435</x:v>
      </x:c>
      <x:c r="B436" s="38" t="str">
        <x:v>Sí</x:v>
      </x:c>
      <x:c r="C436" s="38" t="str">
        <x:v>Sin clasificar</x:v>
      </x:c>
      <x:c r="D436" s="38" t="str"/>
      <x:c r="E436" s="38" t="str">
        <x:v>Caja Enlazable Univ.Cuadrada</x:v>
      </x:c>
      <x:c r="F436" s="38" t="str">
        <x:v>CAJA ENLAZABLE UNIV.CUADRADA</x:v>
      </x:c>
      <x:c r="G436" s="38" t="str">
        <x:v>SOL-6625 / 866250</x:v>
      </x:c>
      <x:c r="H436" s="38" t="str">
        <x:v>Comercial Eléctrica Canarias, S.A.</x:v>
      </x:c>
      <x:c r="I436" s="38" t="str">
        <x:v>Factura 92320225</x:v>
      </x:c>
      <x:c r="J436" s="115" t="str">
        <x:v>15/06/2025</x:v>
      </x:c>
      <x:c r="K436" s="38" t="str">
        <x:v>Albarán 132.722/013 (12/06/2025)</x:v>
      </x:c>
      <x:c r="L436" s="38" t="n">
        <x:v>20</x:v>
      </x:c>
      <x:c r="M436" s="38" t="str">
        <x:v>Unidad</x:v>
      </x:c>
      <x:c r="N436" s="38" t="n">
        <x:v>1</x:v>
      </x:c>
      <x:c r="O436" s="38" t="str">
        <x:v>Unidad</x:v>
      </x:c>
      <x:c r="P436" s="99" t="n">
        <x:v>0.165</x:v>
      </x:c>
      <x:c r="Q436" s="114" t="n">
        <x:v>0</x:v>
      </x:c>
      <x:c r="R436" s="99" t="n">
        <x:v>3.3</x:v>
      </x:c>
      <x:c r="S436" s="99" t="n">
        <x:f>IFERROR(R436/L436,P436*(1-Q436))</x:f>
        <x:v>0.16499999999999998</x:v>
      </x:c>
      <x:c r="T436" s="114" t="n">
        <x:v>0.07</x:v>
      </x:c>
      <x:c r="U436" s="99" t="n">
        <x:f>S436*(1+T436)</x:f>
        <x:v>0.17654999999999998</x:v>
      </x:c>
      <x:c r="V436" s="99" t="n">
        <x:f>S436</x:f>
        <x:v>0.16499999999999998</x:v>
      </x:c>
      <x:c r="W436" s="99" t="n">
        <x:f>V436-S436</x:f>
        <x:v>0</x:v>
      </x:c>
      <x:c r="X436" s="114" t="n">
        <x:f>IFERROR(W436/V436,0)</x:f>
        <x:v>0</x:v>
      </x:c>
      <x:c r="Y436" s="38" t="str">
        <x:v>Por unidad</x:v>
      </x:c>
      <x:c r="Z436" s="38" t="str">
        <x:f>IF(Y436="Botella / 3 instalaciones","Precio botella / 3",IF(Y436="Por rollo o metros proporcionales","Si se pasa rollo: rollo completo. Si se pasan metros: proporcional",Y436))</x:f>
        <x:v>Por unidad</x:v>
      </x:c>
      <x:c r="AA436" s="38" t="n">
        <x:v>1</x:v>
      </x:c>
      <x:c r="AB436" s="38" t="str"/>
      <x:c r="AC436" s="38" t="str"/>
      <x:c r="AD436" s="116" t="str">
        <x:v>2026-06-30</x:v>
      </x:c>
      <x:c r="AE436" s="38" t="str">
        <x:v>Sí</x:v>
      </x:c>
      <x:c r="AF436" s="38" t="str">
        <x:v>Revisar categoría antes de usar en cálculo automático.</x:v>
      </x:c>
    </x:row>
    <x:row r="437">
      <x:c r="A437" s="38" t="str">
        <x:v>MAT-0436</x:v>
      </x:c>
      <x:c r="B437" s="38" t="str">
        <x:v>Sí</x:v>
      </x:c>
      <x:c r="C437" s="38" t="str">
        <x:v>Sin clasificar</x:v>
      </x:c>
      <x:c r="D437" s="38" t="str"/>
      <x:c r="E437" s="38" t="str">
        <x:v>Caja Registro Pt- 7 294X152X70</x:v>
      </x:c>
      <x:c r="F437" s="38" t="str">
        <x:v>CAJA REGISTRO PT- 7 294X152X70</x:v>
      </x:c>
      <x:c r="G437" s="38" t="str">
        <x:v>GEW-GW48007 / 948007</x:v>
      </x:c>
      <x:c r="H437" s="38" t="str">
        <x:v>Comercial Eléctrica Canarias, S.A.</x:v>
      </x:c>
      <x:c r="I437" s="38" t="str">
        <x:v>Factura 92320225</x:v>
      </x:c>
      <x:c r="J437" s="115" t="str">
        <x:v>15/06/2025</x:v>
      </x:c>
      <x:c r="K437" s="38" t="str">
        <x:v>Albarán 132.722/013 (12/06/2025)</x:v>
      </x:c>
      <x:c r="L437" s="38" t="n">
        <x:v>2</x:v>
      </x:c>
      <x:c r="M437" s="38" t="str">
        <x:v>Unidad</x:v>
      </x:c>
      <x:c r="N437" s="38" t="n">
        <x:v>1</x:v>
      </x:c>
      <x:c r="O437" s="38" t="str">
        <x:v>Unidad</x:v>
      </x:c>
      <x:c r="P437" s="99" t="n">
        <x:v>4.544</x:v>
      </x:c>
      <x:c r="Q437" s="114" t="n">
        <x:v>0</x:v>
      </x:c>
      <x:c r="R437" s="99" t="n">
        <x:v>9.09</x:v>
      </x:c>
      <x:c r="S437" s="99" t="n">
        <x:f>IFERROR(R437/L437,P437*(1-Q437))</x:f>
        <x:v>4.545</x:v>
      </x:c>
      <x:c r="T437" s="114" t="n">
        <x:v>0.07</x:v>
      </x:c>
      <x:c r="U437" s="99" t="n">
        <x:f>S437*(1+T437)</x:f>
        <x:v>4.86315</x:v>
      </x:c>
      <x:c r="V437" s="99" t="n">
        <x:f>S437</x:f>
        <x:v>4.545</x:v>
      </x:c>
      <x:c r="W437" s="99" t="n">
        <x:f>V437-S437</x:f>
        <x:v>0</x:v>
      </x:c>
      <x:c r="X437" s="114" t="n">
        <x:f>IFERROR(W437/V437,0)</x:f>
        <x:v>0</x:v>
      </x:c>
      <x:c r="Y437" s="38" t="str">
        <x:v>Por unidad</x:v>
      </x:c>
      <x:c r="Z437" s="38" t="str">
        <x:f>IF(Y437="Botella / 3 instalaciones","Precio botella / 3",IF(Y437="Por rollo o metros proporcionales","Si se pasa rollo: rollo completo. Si se pasan metros: proporcional",Y437))</x:f>
        <x:v>Por unidad</x:v>
      </x:c>
      <x:c r="AA437" s="38" t="n">
        <x:v>1</x:v>
      </x:c>
      <x:c r="AB437" s="38" t="str"/>
      <x:c r="AC437" s="38" t="str"/>
      <x:c r="AD437" s="116" t="str">
        <x:v>2026-06-30</x:v>
      </x:c>
      <x:c r="AE437" s="38" t="str">
        <x:v>Sí</x:v>
      </x:c>
      <x:c r="AF437" s="38" t="str">
        <x:v>Revisar categoría antes de usar en cálculo automático.</x:v>
      </x:c>
    </x:row>
    <x:row r="438">
      <x:c r="A438" s="38" t="str">
        <x:v>MAT-0437</x:v>
      </x:c>
      <x:c r="B438" s="38" t="str">
        <x:v>Sí</x:v>
      </x:c>
      <x:c r="C438" s="38" t="str">
        <x:v>Sin clasificar</x:v>
      </x:c>
      <x:c r="D438" s="38" t="str"/>
      <x:c r="E438" s="38" t="str">
        <x:v>Caja Registro Pt- 6 196X152X70</x:v>
      </x:c>
      <x:c r="F438" s="38" t="str">
        <x:v>CAJA REGISTRO PT- 6 196X152X70</x:v>
      </x:c>
      <x:c r="G438" s="38" t="str">
        <x:v>GEW-GW48006 / 948006</x:v>
      </x:c>
      <x:c r="H438" s="38" t="str">
        <x:v>Comercial Eléctrica Canarias, S.A.</x:v>
      </x:c>
      <x:c r="I438" s="38" t="str">
        <x:v>Factura 92320225</x:v>
      </x:c>
      <x:c r="J438" s="115" t="str">
        <x:v>15/06/2025</x:v>
      </x:c>
      <x:c r="K438" s="38" t="str">
        <x:v>Albarán 132.722/013 (12/06/2025)</x:v>
      </x:c>
      <x:c r="L438" s="38" t="n">
        <x:v>1</x:v>
      </x:c>
      <x:c r="M438" s="38" t="str">
        <x:v>Unidad</x:v>
      </x:c>
      <x:c r="N438" s="38" t="n">
        <x:v>1</x:v>
      </x:c>
      <x:c r="O438" s="38" t="str">
        <x:v>Unidad</x:v>
      </x:c>
      <x:c r="P438" s="99" t="n">
        <x:v>2.841</x:v>
      </x:c>
      <x:c r="Q438" s="114" t="n">
        <x:v>0</x:v>
      </x:c>
      <x:c r="R438" s="99" t="n">
        <x:v>2.84</x:v>
      </x:c>
      <x:c r="S438" s="99" t="n">
        <x:f>IFERROR(R438/L438,P438*(1-Q438))</x:f>
        <x:v>2.84</x:v>
      </x:c>
      <x:c r="T438" s="114" t="n">
        <x:v>0.07</x:v>
      </x:c>
      <x:c r="U438" s="99" t="n">
        <x:f>S438*(1+T438)</x:f>
        <x:v>3.0388</x:v>
      </x:c>
      <x:c r="V438" s="99" t="n">
        <x:f>S438</x:f>
        <x:v>2.84</x:v>
      </x:c>
      <x:c r="W438" s="99" t="n">
        <x:f>V438-S438</x:f>
        <x:v>0</x:v>
      </x:c>
      <x:c r="X438" s="114" t="n">
        <x:f>IFERROR(W438/V438,0)</x:f>
        <x:v>0</x:v>
      </x:c>
      <x:c r="Y438" s="38" t="str">
        <x:v>Por unidad</x:v>
      </x:c>
      <x:c r="Z438" s="38" t="str">
        <x:f>IF(Y438="Botella / 3 instalaciones","Precio botella / 3",IF(Y438="Por rollo o metros proporcionales","Si se pasa rollo: rollo completo. Si se pasan metros: proporcional",Y438))</x:f>
        <x:v>Por unidad</x:v>
      </x:c>
      <x:c r="AA438" s="38" t="n">
        <x:v>1</x:v>
      </x:c>
      <x:c r="AB438" s="38" t="str"/>
      <x:c r="AC438" s="38" t="str"/>
      <x:c r="AD438" s="116" t="str">
        <x:v>2026-06-30</x:v>
      </x:c>
      <x:c r="AE438" s="38" t="str">
        <x:v>Sí</x:v>
      </x:c>
      <x:c r="AF438" s="38" t="str">
        <x:v>Revisar categoría antes de usar en cálculo automático.</x:v>
      </x:c>
    </x:row>
    <x:row r="439">
      <x:c r="A439" s="38" t="str">
        <x:v>MAT-0438</x:v>
      </x:c>
      <x:c r="B439" s="38" t="str">
        <x:v>Sí</x:v>
      </x:c>
      <x:c r="C439" s="38" t="str">
        <x:v>Sin clasificar</x:v>
      </x:c>
      <x:c r="D439" s="38" t="str"/>
      <x:c r="E439" s="38" t="str">
        <x:v>Spray Marcador Obra 500Ml Blan</x:v>
      </x:c>
      <x:c r="F439" s="38" t="str">
        <x:v>SPRAY MARCADOR OBRA 500ml BLAN</x:v>
      </x:c>
      <x:c r="G439" s="38" t="str">
        <x:v>SOU-157389 / 7915</x:v>
      </x:c>
      <x:c r="H439" s="38" t="str">
        <x:v>Comercial Eléctrica Canarias, S.A.</x:v>
      </x:c>
      <x:c r="I439" s="38" t="str">
        <x:v>Factura 92320225</x:v>
      </x:c>
      <x:c r="J439" s="115" t="str">
        <x:v>15/06/2025</x:v>
      </x:c>
      <x:c r="K439" s="38" t="str">
        <x:v>Albarán 132.722/013 (12/06/2025)</x:v>
      </x:c>
      <x:c r="L439" s="38" t="n">
        <x:v>1</x:v>
      </x:c>
      <x:c r="M439" s="38" t="str">
        <x:v>Unidad</x:v>
      </x:c>
      <x:c r="N439" s="38" t="n">
        <x:v>1</x:v>
      </x:c>
      <x:c r="O439" s="38" t="str">
        <x:v>Unidad</x:v>
      </x:c>
      <x:c r="P439" s="99" t="n">
        <x:v>4.383</x:v>
      </x:c>
      <x:c r="Q439" s="114" t="n">
        <x:v>0</x:v>
      </x:c>
      <x:c r="R439" s="99" t="n">
        <x:v>4.38</x:v>
      </x:c>
      <x:c r="S439" s="99" t="n">
        <x:f>IFERROR(R439/L439,P439*(1-Q439))</x:f>
        <x:v>4.38</x:v>
      </x:c>
      <x:c r="T439" s="114" t="n">
        <x:v>0.07</x:v>
      </x:c>
      <x:c r="U439" s="99" t="n">
        <x:f>S439*(1+T439)</x:f>
        <x:v>4.6866</x:v>
      </x:c>
      <x:c r="V439" s="99" t="n">
        <x:f>S439</x:f>
        <x:v>4.38</x:v>
      </x:c>
      <x:c r="W439" s="99" t="n">
        <x:f>V439-S439</x:f>
        <x:v>0</x:v>
      </x:c>
      <x:c r="X439" s="114" t="n">
        <x:f>IFERROR(W439/V439,0)</x:f>
        <x:v>0</x:v>
      </x:c>
      <x:c r="Y439" s="38" t="str">
        <x:v>Por unidad</x:v>
      </x:c>
      <x:c r="Z439" s="38" t="str">
        <x:f>IF(Y439="Botella / 3 instalaciones","Precio botella / 3",IF(Y439="Por rollo o metros proporcionales","Si se pasa rollo: rollo completo. Si se pasan metros: proporcional",Y439))</x:f>
        <x:v>Por unidad</x:v>
      </x:c>
      <x:c r="AA439" s="38" t="n">
        <x:v>1</x:v>
      </x:c>
      <x:c r="AB439" s="38" t="str"/>
      <x:c r="AC439" s="38" t="str"/>
      <x:c r="AD439" s="116" t="str">
        <x:v>2026-06-30</x:v>
      </x:c>
      <x:c r="AE439" s="38" t="str">
        <x:v>Sí</x:v>
      </x:c>
      <x:c r="AF439" s="38" t="str">
        <x:v>Revisar categoría antes de usar en cálculo automático.</x:v>
      </x:c>
    </x:row>
    <x:row r="440">
      <x:c r="A440" s="38" t="str">
        <x:v>MAT-0439</x:v>
      </x:c>
      <x:c r="B440" s="38" t="str">
        <x:v>Sí</x:v>
      </x:c>
      <x:c r="C440" s="38" t="str">
        <x:v>Pequeño material</x:v>
      </x:c>
      <x:c r="D440" s="38" t="str">
        <x:v>Consumible</x:v>
      </x:c>
      <x:c r="E440" s="38" t="str">
        <x:v>Cinta Aislante N10 33X25 Blanc</x:v>
      </x:c>
      <x:c r="F440" s="38" t="str">
        <x:v>CINTA AISLANTE N10 33x25 BLANC</x:v>
      </x:c>
      <x:c r="G440" s="38" t="str">
        <x:v>PLY-5538 / 3088</x:v>
      </x:c>
      <x:c r="H440" s="38" t="str">
        <x:v>Comercial Eléctrica Canarias, S.A.</x:v>
      </x:c>
      <x:c r="I440" s="38" t="str">
        <x:v>Factura 92320225</x:v>
      </x:c>
      <x:c r="J440" s="115" t="str">
        <x:v>15/06/2025</x:v>
      </x:c>
      <x:c r="K440" s="38" t="str">
        <x:v>Albarán 132.722/013 (12/06/2025)</x:v>
      </x:c>
      <x:c r="L440" s="38" t="n">
        <x:v>2</x:v>
      </x:c>
      <x:c r="M440" s="38" t="str">
        <x:v>Unidad</x:v>
      </x:c>
      <x:c r="N440" s="38" t="n">
        <x:v>1</x:v>
      </x:c>
      <x:c r="O440" s="38" t="str">
        <x:v>Unidad</x:v>
      </x:c>
      <x:c r="P440" s="99" t="n">
        <x:v>2.03</x:v>
      </x:c>
      <x:c r="Q440" s="114" t="n">
        <x:v>0</x:v>
      </x:c>
      <x:c r="R440" s="99" t="n">
        <x:v>4.06</x:v>
      </x:c>
      <x:c r="S440" s="99" t="n">
        <x:f>IFERROR(R440/L440,P440*(1-Q440))</x:f>
        <x:v>2.03</x:v>
      </x:c>
      <x:c r="T440" s="114" t="n">
        <x:v>0.03</x:v>
      </x:c>
      <x:c r="U440" s="99" t="n">
        <x:f>S440*(1+T440)</x:f>
        <x:v>2.0909</x:v>
      </x:c>
      <x:c r="V440" s="99" t="n">
        <x:f>S440</x:f>
        <x:v>2.03</x:v>
      </x:c>
      <x:c r="W440" s="99" t="n">
        <x:f>V440-S440</x:f>
        <x:v>0</x:v>
      </x:c>
      <x:c r="X440" s="114" t="n">
        <x:f>IFERROR(W440/V440,0)</x:f>
        <x:v>0</x:v>
      </x:c>
      <x:c r="Y440" s="38" t="str">
        <x:v>Por unidad</x:v>
      </x:c>
      <x:c r="Z440" s="38" t="str">
        <x:f>IF(Y440="Botella / 3 instalaciones","Precio botella / 3",IF(Y440="Por rollo o metros proporcionales","Si se pasa rollo: rollo completo. Si se pasan metros: proporcional",Y440))</x:f>
        <x:v>Por unidad</x:v>
      </x:c>
      <x:c r="AA440" s="38" t="n">
        <x:v>1</x:v>
      </x:c>
      <x:c r="AB440" s="38" t="str"/>
      <x:c r="AC440" s="38" t="str"/>
      <x:c r="AD440" s="116" t="str">
        <x:v>2026-06-30</x:v>
      </x:c>
      <x:c r="AE440" s="38" t="str">
        <x:v>No</x:v>
      </x:c>
      <x:c r="AF440" s="38" t="str"/>
    </x:row>
    <x:row r="441">
      <x:c r="A441" s="38" t="str">
        <x:v>MAT-0440</x:v>
      </x:c>
      <x:c r="B441" s="38" t="str">
        <x:v>Sí</x:v>
      </x:c>
      <x:c r="C441" s="38" t="str">
        <x:v>Sin clasificar</x:v>
      </x:c>
      <x:c r="D441" s="38" t="str"/>
      <x:c r="E441" s="38" t="str">
        <x:v>Caja Ict 5030/8 Plast.Emp-5503</x:v>
      </x:c>
      <x:c r="F441" s="38" t="str">
        <x:v>CAJA ICT 5030/8 PLAST.EMP-5503</x:v>
      </x:c>
      <x:c r="G441" s="38" t="str">
        <x:v>SOL-5503 / 855030</x:v>
      </x:c>
      <x:c r="H441" s="38" t="str">
        <x:v>Comercial Eléctrica Canarias, S.A.</x:v>
      </x:c>
      <x:c r="I441" s="38" t="str">
        <x:v>Factura 92320225</x:v>
      </x:c>
      <x:c r="J441" s="115" t="str">
        <x:v>15/06/2025</x:v>
      </x:c>
      <x:c r="K441" s="38" t="str">
        <x:v>Albarán 132.722/013 (12/06/2025)</x:v>
      </x:c>
      <x:c r="L441" s="38" t="n">
        <x:v>1</x:v>
      </x:c>
      <x:c r="M441" s="38" t="str">
        <x:v>Unidad</x:v>
      </x:c>
      <x:c r="N441" s="38" t="n">
        <x:v>1</x:v>
      </x:c>
      <x:c r="O441" s="38" t="str">
        <x:v>Unidad</x:v>
      </x:c>
      <x:c r="P441" s="99" t="n">
        <x:v>8.08</x:v>
      </x:c>
      <x:c r="Q441" s="114" t="n">
        <x:v>0</x:v>
      </x:c>
      <x:c r="R441" s="99" t="n">
        <x:v>8.08</x:v>
      </x:c>
      <x:c r="S441" s="99" t="n">
        <x:f>IFERROR(R441/L441,P441*(1-Q441))</x:f>
        <x:v>8.08</x:v>
      </x:c>
      <x:c r="T441" s="114" t="n">
        <x:v>0.07</x:v>
      </x:c>
      <x:c r="U441" s="99" t="n">
        <x:f>S441*(1+T441)</x:f>
        <x:v>8.6456</x:v>
      </x:c>
      <x:c r="V441" s="99" t="n">
        <x:f>S441</x:f>
        <x:v>8.08</x:v>
      </x:c>
      <x:c r="W441" s="99" t="n">
        <x:f>V441-S441</x:f>
        <x:v>0</x:v>
      </x:c>
      <x:c r="X441" s="114" t="n">
        <x:f>IFERROR(W441/V441,0)</x:f>
        <x:v>0</x:v>
      </x:c>
      <x:c r="Y441" s="38" t="str">
        <x:v>Por unidad</x:v>
      </x:c>
      <x:c r="Z441" s="38" t="str">
        <x:f>IF(Y441="Botella / 3 instalaciones","Precio botella / 3",IF(Y441="Por rollo o metros proporcionales","Si se pasa rollo: rollo completo. Si se pasan metros: proporcional",Y441))</x:f>
        <x:v>Por unidad</x:v>
      </x:c>
      <x:c r="AA441" s="38" t="n">
        <x:v>1</x:v>
      </x:c>
      <x:c r="AB441" s="38" t="str"/>
      <x:c r="AC441" s="38" t="str"/>
      <x:c r="AD441" s="116" t="str">
        <x:v>2026-06-30</x:v>
      </x:c>
      <x:c r="AE441" s="38" t="str">
        <x:v>Sí</x:v>
      </x:c>
      <x:c r="AF441" s="38" t="str">
        <x:v>Revisar categoría antes de usar en cálculo automático.</x:v>
      </x:c>
    </x:row>
    <x:row r="442">
      <x:c r="A442" s="38" t="str">
        <x:v>MAT-0441</x:v>
      </x:c>
      <x:c r="B442" s="38" t="str">
        <x:v>Sí</x:v>
      </x:c>
      <x:c r="C442" s="38" t="str">
        <x:v>Sin clasificar</x:v>
      </x:c>
      <x:c r="D442" s="38" t="str"/>
      <x:c r="E442" s="38" t="str">
        <x:v>Centralita 24E+Icp Emp.Pta.Bl</x:v>
      </x:c>
      <x:c r="F442" s="38" t="str">
        <x:v>CENTRALITA 24E+ICP EMP.PTA.BL</x:v>
      </x:c>
      <x:c r="G442" s="38" t="str">
        <x:v>SOL-8203FLJ / 882030</x:v>
      </x:c>
      <x:c r="H442" s="38" t="str">
        <x:v>Comercial Eléctrica Canarias, S.A.</x:v>
      </x:c>
      <x:c r="I442" s="38" t="str">
        <x:v>Factura 92320225</x:v>
      </x:c>
      <x:c r="J442" s="115" t="str">
        <x:v>15/06/2025</x:v>
      </x:c>
      <x:c r="K442" s="38" t="str">
        <x:v>Albarán 132.722/013 (12/06/2025)</x:v>
      </x:c>
      <x:c r="L442" s="38" t="n">
        <x:v>1</x:v>
      </x:c>
      <x:c r="M442" s="38" t="str">
        <x:v>Unidad</x:v>
      </x:c>
      <x:c r="N442" s="38" t="n">
        <x:v>1</x:v>
      </x:c>
      <x:c r="O442" s="38" t="str">
        <x:v>Unidad</x:v>
      </x:c>
      <x:c r="P442" s="99" t="n">
        <x:v>17.268</x:v>
      </x:c>
      <x:c r="Q442" s="114" t="n">
        <x:v>0</x:v>
      </x:c>
      <x:c r="R442" s="99" t="n">
        <x:v>17.27</x:v>
      </x:c>
      <x:c r="S442" s="99" t="n">
        <x:f>IFERROR(R442/L442,P442*(1-Q442))</x:f>
        <x:v>17.27</x:v>
      </x:c>
      <x:c r="T442" s="114" t="n">
        <x:v>0.07</x:v>
      </x:c>
      <x:c r="U442" s="99" t="n">
        <x:f>S442*(1+T442)</x:f>
        <x:v>18.4789</x:v>
      </x:c>
      <x:c r="V442" s="99" t="n">
        <x:f>S442</x:f>
        <x:v>17.27</x:v>
      </x:c>
      <x:c r="W442" s="99" t="n">
        <x:f>V442-S442</x:f>
        <x:v>0</x:v>
      </x:c>
      <x:c r="X442" s="114" t="n">
        <x:f>IFERROR(W442/V442,0)</x:f>
        <x:v>0</x:v>
      </x:c>
      <x:c r="Y442" s="38" t="str">
        <x:v>Por unidad</x:v>
      </x:c>
      <x:c r="Z442" s="38" t="str">
        <x:f>IF(Y442="Botella / 3 instalaciones","Precio botella / 3",IF(Y442="Por rollo o metros proporcionales","Si se pasa rollo: rollo completo. Si se pasan metros: proporcional",Y442))</x:f>
        <x:v>Por unidad</x:v>
      </x:c>
      <x:c r="AA442" s="38" t="n">
        <x:v>1</x:v>
      </x:c>
      <x:c r="AB442" s="38" t="str"/>
      <x:c r="AC442" s="38" t="str"/>
      <x:c r="AD442" s="116" t="str">
        <x:v>2026-06-30</x:v>
      </x:c>
      <x:c r="AE442" s="38" t="str">
        <x:v>Sí</x:v>
      </x:c>
      <x:c r="AF442" s="38" t="str">
        <x:v>Revisar categoría antes de usar en cálculo automático.</x:v>
      </x:c>
    </x:row>
    <x:row r="443">
      <x:c r="A443" s="38" t="str">
        <x:v>MAT-0442</x:v>
      </x:c>
      <x:c r="B443" s="38" t="str">
        <x:v>Sí</x:v>
      </x:c>
      <x:c r="C443" s="38" t="str">
        <x:v>Pequeño material</x:v>
      </x:c>
      <x:c r="D443" s="38" t="str">
        <x:v>Consumible</x:v>
      </x:c>
      <x:c r="E443" s="38" t="str">
        <x:v>Brida 300X4,8 Estand. Ng 100U</x:v>
      </x:c>
      <x:c r="F443" s="38" t="str">
        <x:v>BRIDA 300x4,8 ESTAND. NG 100u</x:v>
      </x:c>
      <x:c r="G443" s="38" t="str">
        <x:v>DES-14014297 / 14014297</x:v>
      </x:c>
      <x:c r="H443" s="38" t="str">
        <x:v>Comercial Eléctrica Canarias, S.A.</x:v>
      </x:c>
      <x:c r="I443" s="38" t="str">
        <x:v>Factura 92320225</x:v>
      </x:c>
      <x:c r="J443" s="115" t="str">
        <x:v>15/06/2025</x:v>
      </x:c>
      <x:c r="K443" s="38" t="str">
        <x:v>Albarán 132.722/013 (12/06/2025)</x:v>
      </x:c>
      <x:c r="L443" s="38" t="n">
        <x:v>300</x:v>
      </x:c>
      <x:c r="M443" s="38" t="str">
        <x:v>Unidad</x:v>
      </x:c>
      <x:c r="N443" s="38" t="n">
        <x:v>1</x:v>
      </x:c>
      <x:c r="O443" s="38" t="str">
        <x:v>Unidad</x:v>
      </x:c>
      <x:c r="P443" s="99" t="n">
        <x:v>0.055</x:v>
      </x:c>
      <x:c r="Q443" s="114" t="n">
        <x:v>0</x:v>
      </x:c>
      <x:c r="R443" s="99" t="n">
        <x:v>16.5</x:v>
      </x:c>
      <x:c r="S443" s="99" t="n">
        <x:f>IFERROR(R443/L443,P443*(1-Q443))</x:f>
        <x:v>0.055</x:v>
      </x:c>
      <x:c r="T443" s="114" t="n">
        <x:v>0.03</x:v>
      </x:c>
      <x:c r="U443" s="99" t="n">
        <x:f>S443*(1+T443)</x:f>
        <x:v>0.05665</x:v>
      </x:c>
      <x:c r="V443" s="99" t="n">
        <x:f>S443</x:f>
        <x:v>0.055</x:v>
      </x:c>
      <x:c r="W443" s="99" t="n">
        <x:f>V443-S443</x:f>
        <x:v>0</x:v>
      </x:c>
      <x:c r="X443" s="114" t="n">
        <x:f>IFERROR(W443/V443,0)</x:f>
        <x:v>0</x:v>
      </x:c>
      <x:c r="Y443" s="38" t="str">
        <x:v>Por unidad</x:v>
      </x:c>
      <x:c r="Z443" s="38" t="str">
        <x:f>IF(Y443="Botella / 3 instalaciones","Precio botella / 3",IF(Y443="Por rollo o metros proporcionales","Si se pasa rollo: rollo completo. Si se pasan metros: proporcional",Y443))</x:f>
        <x:v>Por unidad</x:v>
      </x:c>
      <x:c r="AA443" s="38" t="n">
        <x:v>1</x:v>
      </x:c>
      <x:c r="AB443" s="38" t="str"/>
      <x:c r="AC443" s="38" t="str"/>
      <x:c r="AD443" s="116" t="str">
        <x:v>2026-06-30</x:v>
      </x:c>
      <x:c r="AE443" s="38" t="str">
        <x:v>No</x:v>
      </x:c>
      <x:c r="AF443" s="38" t="str"/>
    </x:row>
    <x:row r="444">
      <x:c r="A444" s="38" t="str">
        <x:v>MAT-0443</x:v>
      </x:c>
      <x:c r="B444" s="38" t="str">
        <x:v>Sí</x:v>
      </x:c>
      <x:c r="C444" s="38" t="str">
        <x:v>Pequeño material</x:v>
      </x:c>
      <x:c r="D444" s="38" t="str">
        <x:v>Consumible</x:v>
      </x:c>
      <x:c r="E444" s="38" t="str">
        <x:v>Taco Brida M8 Negro</x:v>
      </x:c>
      <x:c r="F444" s="38" t="str">
        <x:v>TACO BRIDA M8 NEGRO</x:v>
      </x:c>
      <x:c r="G444" s="38" t="str">
        <x:v>DES-14020014 / 46016</x:v>
      </x:c>
      <x:c r="H444" s="38" t="str">
        <x:v>Comercial Eléctrica Canarias, S.A.</x:v>
      </x:c>
      <x:c r="I444" s="38" t="str">
        <x:v>Factura 92320225</x:v>
      </x:c>
      <x:c r="J444" s="115" t="str">
        <x:v>15/06/2025</x:v>
      </x:c>
      <x:c r="K444" s="38" t="str">
        <x:v>Albarán 132.722/013 (12/06/2025)</x:v>
      </x:c>
      <x:c r="L444" s="38" t="n">
        <x:v>200</x:v>
      </x:c>
      <x:c r="M444" s="38" t="str">
        <x:v>Unidad</x:v>
      </x:c>
      <x:c r="N444" s="38" t="n">
        <x:v>1</x:v>
      </x:c>
      <x:c r="O444" s="38" t="str">
        <x:v>Unidad</x:v>
      </x:c>
      <x:c r="P444" s="99" t="n">
        <x:v>0.038</x:v>
      </x:c>
      <x:c r="Q444" s="114" t="n">
        <x:v>0</x:v>
      </x:c>
      <x:c r="R444" s="99" t="n">
        <x:v>7.6</x:v>
      </x:c>
      <x:c r="S444" s="99" t="n">
        <x:f>IFERROR(R444/L444,P444*(1-Q444))</x:f>
        <x:v>0.038</x:v>
      </x:c>
      <x:c r="T444" s="114" t="n">
        <x:v>0.03</x:v>
      </x:c>
      <x:c r="U444" s="99" t="n">
        <x:f>S444*(1+T444)</x:f>
        <x:v>0.03914</x:v>
      </x:c>
      <x:c r="V444" s="99" t="n">
        <x:f>S444</x:f>
        <x:v>0.038</x:v>
      </x:c>
      <x:c r="W444" s="99" t="n">
        <x:f>V444-S444</x:f>
        <x:v>0</x:v>
      </x:c>
      <x:c r="X444" s="114" t="n">
        <x:f>IFERROR(W444/V444,0)</x:f>
        <x:v>0</x:v>
      </x:c>
      <x:c r="Y444" s="38" t="str">
        <x:v>Por unidad</x:v>
      </x:c>
      <x:c r="Z444" s="38" t="str">
        <x:f>IF(Y444="Botella / 3 instalaciones","Precio botella / 3",IF(Y444="Por rollo o metros proporcionales","Si se pasa rollo: rollo completo. Si se pasan metros: proporcional",Y444))</x:f>
        <x:v>Por unidad</x:v>
      </x:c>
      <x:c r="AA444" s="38" t="n">
        <x:v>1</x:v>
      </x:c>
      <x:c r="AB444" s="38" t="str"/>
      <x:c r="AC444" s="38" t="str"/>
      <x:c r="AD444" s="116" t="str">
        <x:v>2026-06-30</x:v>
      </x:c>
      <x:c r="AE444" s="38" t="str">
        <x:v>No</x:v>
      </x:c>
      <x:c r="AF444" s="38" t="str"/>
    </x:row>
    <x:row r="445">
      <x:c r="A445" s="38" t="str">
        <x:v>MAT-0444</x:v>
      </x:c>
      <x:c r="B445" s="38" t="str">
        <x:v>Sí</x:v>
      </x:c>
      <x:c r="C445" s="38" t="str">
        <x:v>Electricidad</x:v>
      </x:c>
      <x:c r="D445" s="38" t="str">
        <x:v>Cable eléctrico</x:v>
      </x:c>
      <x:c r="E445" s="38" t="str">
        <x:v>Cable H07Z1-K Cpr 1X1.5 Negro</x:v>
      </x:c>
      <x:c r="F445" s="38" t="str">
        <x:v>CABLE H07Z1-K CPR 1X1.5 NEGRO</x:v>
      </x:c>
      <x:c r="G445" s="38" t="str">
        <x:v>CABLE / 555157</x:v>
      </x:c>
      <x:c r="H445" s="38" t="str">
        <x:v>Comercial Eléctrica Canarias, S.A.</x:v>
      </x:c>
      <x:c r="I445" s="38" t="str">
        <x:v>Factura 92320225</x:v>
      </x:c>
      <x:c r="J445" s="115" t="str">
        <x:v>15/06/2025</x:v>
      </x:c>
      <x:c r="K445" s="38" t="str">
        <x:v>Albarán 132.722/013 (12/06/2025)</x:v>
      </x:c>
      <x:c r="L445" s="38" t="n">
        <x:v>200</x:v>
      </x:c>
      <x:c r="M445" s="38" t="str">
        <x:v>Metro</x:v>
      </x:c>
      <x:c r="N445" s="38" t="n">
        <x:v>1</x:v>
      </x:c>
      <x:c r="O445" s="38" t="str">
        <x:v>Metro</x:v>
      </x:c>
      <x:c r="P445" s="99" t="n">
        <x:v>0.195</x:v>
      </x:c>
      <x:c r="Q445" s="114" t="n">
        <x:v>0</x:v>
      </x:c>
      <x:c r="R445" s="99" t="n">
        <x:v>39</x:v>
      </x:c>
      <x:c r="S445" s="99" t="n">
        <x:f>IFERROR(R445/L445,P445*(1-Q445))</x:f>
        <x:v>0.195</x:v>
      </x:c>
      <x:c r="T445" s="114" t="n">
        <x:v>0.07</x:v>
      </x:c>
      <x:c r="U445" s="99" t="n">
        <x:f>S445*(1+T445)</x:f>
        <x:v>0.20865000000000003</x:v>
      </x:c>
      <x:c r="V445" s="99" t="n">
        <x:f>S445</x:f>
        <x:v>0.195</x:v>
      </x:c>
      <x:c r="W445" s="99" t="n">
        <x:f>V445-S445</x:f>
        <x:v>0</x:v>
      </x:c>
      <x:c r="X445" s="114" t="n">
        <x:f>IFERROR(W445/V445,0)</x:f>
        <x:v>0</x:v>
      </x:c>
      <x:c r="Y445" s="38" t="str">
        <x:v>Por metros</x:v>
      </x:c>
      <x:c r="Z445" s="38" t="str">
        <x:f>IF(Y445="Botella / 3 instalaciones","Precio botella / 3",IF(Y445="Por rollo o metros proporcionales","Si se pasa rollo: rollo completo. Si se pasan metros: proporcional",Y445))</x:f>
        <x:v>Por metros</x:v>
      </x:c>
      <x:c r="AA445" s="38" t="n">
        <x:v>1</x:v>
      </x:c>
      <x:c r="AB445" s="38" t="str"/>
      <x:c r="AC445" s="38" t="str"/>
      <x:c r="AD445" s="116" t="str">
        <x:v>2026-06-30</x:v>
      </x:c>
      <x:c r="AE445" s="38" t="str">
        <x:v>No</x:v>
      </x:c>
      <x:c r="AF445" s="38" t="str"/>
    </x:row>
    <x:row r="446">
      <x:c r="A446" s="38" t="str">
        <x:v>MAT-0445</x:v>
      </x:c>
      <x:c r="B446" s="38" t="str">
        <x:v>Sí</x:v>
      </x:c>
      <x:c r="C446" s="38" t="str">
        <x:v>Electricidad</x:v>
      </x:c>
      <x:c r="D446" s="38" t="str">
        <x:v>Cable eléctrico</x:v>
      </x:c>
      <x:c r="E446" s="38" t="str">
        <x:v>Cable H07Z1-K Cpr 1X1.5 Gris</x:v>
      </x:c>
      <x:c r="F446" s="38" t="str">
        <x:v>CABLE H07Z1-K CPR 1X1.5 GRIS</x:v>
      </x:c>
      <x:c r="G446" s="38" t="str">
        <x:v>CABLE / 555159</x:v>
      </x:c>
      <x:c r="H446" s="38" t="str">
        <x:v>Comercial Eléctrica Canarias, S.A.</x:v>
      </x:c>
      <x:c r="I446" s="38" t="str">
        <x:v>Factura 92320225</x:v>
      </x:c>
      <x:c r="J446" s="115" t="str">
        <x:v>15/06/2025</x:v>
      </x:c>
      <x:c r="K446" s="38" t="str">
        <x:v>Albarán 132.722/013 (12/06/2025)</x:v>
      </x:c>
      <x:c r="L446" s="38" t="n">
        <x:v>200</x:v>
      </x:c>
      <x:c r="M446" s="38" t="str">
        <x:v>Metro</x:v>
      </x:c>
      <x:c r="N446" s="38" t="n">
        <x:v>1</x:v>
      </x:c>
      <x:c r="O446" s="38" t="str">
        <x:v>Metro</x:v>
      </x:c>
      <x:c r="P446" s="99" t="n">
        <x:v>0.195</x:v>
      </x:c>
      <x:c r="Q446" s="114" t="n">
        <x:v>0</x:v>
      </x:c>
      <x:c r="R446" s="99" t="n">
        <x:v>39</x:v>
      </x:c>
      <x:c r="S446" s="99" t="n">
        <x:f>IFERROR(R446/L446,P446*(1-Q446))</x:f>
        <x:v>0.195</x:v>
      </x:c>
      <x:c r="T446" s="114" t="n">
        <x:v>0.07</x:v>
      </x:c>
      <x:c r="U446" s="99" t="n">
        <x:f>S446*(1+T446)</x:f>
        <x:v>0.20865000000000003</x:v>
      </x:c>
      <x:c r="V446" s="99" t="n">
        <x:f>S446</x:f>
        <x:v>0.195</x:v>
      </x:c>
      <x:c r="W446" s="99" t="n">
        <x:f>V446-S446</x:f>
        <x:v>0</x:v>
      </x:c>
      <x:c r="X446" s="114" t="n">
        <x:f>IFERROR(W446/V446,0)</x:f>
        <x:v>0</x:v>
      </x:c>
      <x:c r="Y446" s="38" t="str">
        <x:v>Por metros</x:v>
      </x:c>
      <x:c r="Z446" s="38" t="str">
        <x:f>IF(Y446="Botella / 3 instalaciones","Precio botella / 3",IF(Y446="Por rollo o metros proporcionales","Si se pasa rollo: rollo completo. Si se pasan metros: proporcional",Y446))</x:f>
        <x:v>Por metros</x:v>
      </x:c>
      <x:c r="AA446" s="38" t="n">
        <x:v>1</x:v>
      </x:c>
      <x:c r="AB446" s="38" t="str"/>
      <x:c r="AC446" s="38" t="str"/>
      <x:c r="AD446" s="116" t="str">
        <x:v>2026-06-30</x:v>
      </x:c>
      <x:c r="AE446" s="38" t="str">
        <x:v>No</x:v>
      </x:c>
      <x:c r="AF446" s="38" t="str"/>
    </x:row>
    <x:row r="447">
      <x:c r="A447" s="38" t="str">
        <x:v>MAT-0446</x:v>
      </x:c>
      <x:c r="B447" s="38" t="str">
        <x:v>Sí</x:v>
      </x:c>
      <x:c r="C447" s="38" t="str">
        <x:v>Electricidad</x:v>
      </x:c>
      <x:c r="D447" s="38" t="str">
        <x:v>Cable eléctrico</x:v>
      </x:c>
      <x:c r="E447" s="38" t="str">
        <x:v>Cable 07Z1K Cpr 1X1.5 Mr 100Mt</x:v>
      </x:c>
      <x:c r="F447" s="38" t="str">
        <x:v>CABLE 07Z1K CPR 1X1.5 MR 100MT</x:v>
      </x:c>
      <x:c r="G447" s="38" t="str">
        <x:v>CABLE / 89555158</x:v>
      </x:c>
      <x:c r="H447" s="38" t="str">
        <x:v>Comercial Eléctrica Canarias, S.A.</x:v>
      </x:c>
      <x:c r="I447" s="38" t="str">
        <x:v>Factura 92320225</x:v>
      </x:c>
      <x:c r="J447" s="115" t="str">
        <x:v>15/06/2025</x:v>
      </x:c>
      <x:c r="K447" s="38" t="str">
        <x:v>Albarán 132.722/013 (12/06/2025)</x:v>
      </x:c>
      <x:c r="L447" s="38" t="n">
        <x:v>166</x:v>
      </x:c>
      <x:c r="M447" s="38" t="str">
        <x:v>Metro</x:v>
      </x:c>
      <x:c r="N447" s="38" t="n">
        <x:v>1</x:v>
      </x:c>
      <x:c r="O447" s="38" t="str">
        <x:v>Metro</x:v>
      </x:c>
      <x:c r="P447" s="99" t="n">
        <x:v>0.198</x:v>
      </x:c>
      <x:c r="Q447" s="114" t="n">
        <x:v>0</x:v>
      </x:c>
      <x:c r="R447" s="99" t="n">
        <x:v>32.87</x:v>
      </x:c>
      <x:c r="S447" s="99" t="n">
        <x:f>IFERROR(R447/L447,P447*(1-Q447))</x:f>
        <x:v>0.19801204819277107</x:v>
      </x:c>
      <x:c r="T447" s="114" t="n">
        <x:v>0.07</x:v>
      </x:c>
      <x:c r="U447" s="99" t="n">
        <x:f>S447*(1+T447)</x:f>
        <x:v>0.21187289156626507</x:v>
      </x:c>
      <x:c r="V447" s="99" t="n">
        <x:f>S447</x:f>
        <x:v>0.19801204819277107</x:v>
      </x:c>
      <x:c r="W447" s="99" t="n">
        <x:f>V447-S447</x:f>
        <x:v>0</x:v>
      </x:c>
      <x:c r="X447" s="114" t="n">
        <x:f>IFERROR(W447/V447,0)</x:f>
        <x:v>0</x:v>
      </x:c>
      <x:c r="Y447" s="38" t="str">
        <x:v>Por metros</x:v>
      </x:c>
      <x:c r="Z447" s="38" t="str">
        <x:f>IF(Y447="Botella / 3 instalaciones","Precio botella / 3",IF(Y447="Por rollo o metros proporcionales","Si se pasa rollo: rollo completo. Si se pasan metros: proporcional",Y447))</x:f>
        <x:v>Por metros</x:v>
      </x:c>
      <x:c r="AA447" s="38" t="n">
        <x:v>1</x:v>
      </x:c>
      <x:c r="AB447" s="38" t="str"/>
      <x:c r="AC447" s="38" t="str"/>
      <x:c r="AD447" s="116" t="str">
        <x:v>2026-06-30</x:v>
      </x:c>
      <x:c r="AE447" s="38" t="str">
        <x:v>No</x:v>
      </x:c>
      <x:c r="AF447" s="38" t="str"/>
    </x:row>
    <x:row r="448">
      <x:c r="A448" s="38" t="str">
        <x:v>MAT-0447</x:v>
      </x:c>
      <x:c r="B448" s="38" t="str">
        <x:v>Sí</x:v>
      </x:c>
      <x:c r="C448" s="38" t="str">
        <x:v>Electricidad</x:v>
      </x:c>
      <x:c r="D448" s="38" t="str">
        <x:v>Cable eléctrico</x:v>
      </x:c>
      <x:c r="E448" s="38" t="str">
        <x:v>Cable H07Z1-K Cpr 1X1.5 Am/Vde</x:v>
      </x:c>
      <x:c r="F448" s="38" t="str">
        <x:v>CABLE H07Z1-K CPR 1X1.5 AM/VDE</x:v>
      </x:c>
      <x:c r="G448" s="38" t="str">
        <x:v>CABLE / 555161</x:v>
      </x:c>
      <x:c r="H448" s="38" t="str">
        <x:v>Comercial Eléctrica Canarias, S.A.</x:v>
      </x:c>
      <x:c r="I448" s="38" t="str">
        <x:v>Factura 92320225</x:v>
      </x:c>
      <x:c r="J448" s="115" t="str">
        <x:v>15/06/2025</x:v>
      </x:c>
      <x:c r="K448" s="38" t="str">
        <x:v>Albarán 132.722/013 (12/06/2025)</x:v>
      </x:c>
      <x:c r="L448" s="38" t="n">
        <x:v>200</x:v>
      </x:c>
      <x:c r="M448" s="38" t="str">
        <x:v>Metro</x:v>
      </x:c>
      <x:c r="N448" s="38" t="n">
        <x:v>1</x:v>
      </x:c>
      <x:c r="O448" s="38" t="str">
        <x:v>Metro</x:v>
      </x:c>
      <x:c r="P448" s="99" t="n">
        <x:v>0.195</x:v>
      </x:c>
      <x:c r="Q448" s="114" t="n">
        <x:v>0</x:v>
      </x:c>
      <x:c r="R448" s="99" t="n">
        <x:v>39</x:v>
      </x:c>
      <x:c r="S448" s="99" t="n">
        <x:f>IFERROR(R448/L448,P448*(1-Q448))</x:f>
        <x:v>0.195</x:v>
      </x:c>
      <x:c r="T448" s="114" t="n">
        <x:v>0.07</x:v>
      </x:c>
      <x:c r="U448" s="99" t="n">
        <x:f>S448*(1+T448)</x:f>
        <x:v>0.20865000000000003</x:v>
      </x:c>
      <x:c r="V448" s="99" t="n">
        <x:f>S448</x:f>
        <x:v>0.195</x:v>
      </x:c>
      <x:c r="W448" s="99" t="n">
        <x:f>V448-S448</x:f>
        <x:v>0</x:v>
      </x:c>
      <x:c r="X448" s="114" t="n">
        <x:f>IFERROR(W448/V448,0)</x:f>
        <x:v>0</x:v>
      </x:c>
      <x:c r="Y448" s="38" t="str">
        <x:v>Por metros</x:v>
      </x:c>
      <x:c r="Z448" s="38" t="str">
        <x:f>IF(Y448="Botella / 3 instalaciones","Precio botella / 3",IF(Y448="Por rollo o metros proporcionales","Si se pasa rollo: rollo completo. Si se pasan metros: proporcional",Y448))</x:f>
        <x:v>Por metros</x:v>
      </x:c>
      <x:c r="AA448" s="38" t="n">
        <x:v>1</x:v>
      </x:c>
      <x:c r="AB448" s="38" t="str"/>
      <x:c r="AC448" s="38" t="str"/>
      <x:c r="AD448" s="116" t="str">
        <x:v>2026-06-30</x:v>
      </x:c>
      <x:c r="AE448" s="38" t="str">
        <x:v>No</x:v>
      </x:c>
      <x:c r="AF448" s="38" t="str"/>
    </x:row>
    <x:row r="449">
      <x:c r="A449" s="38" t="str">
        <x:v>MAT-0448</x:v>
      </x:c>
      <x:c r="B449" s="38" t="str">
        <x:v>Sí</x:v>
      </x:c>
      <x:c r="C449" s="38" t="str">
        <x:v>Electricidad</x:v>
      </x:c>
      <x:c r="D449" s="38" t="str">
        <x:v>Cable eléctrico</x:v>
      </x:c>
      <x:c r="E449" s="38" t="str">
        <x:v>Cable H07Z1-K Cpr 1X1.5 Negro</x:v>
      </x:c>
      <x:c r="F449" s="38" t="str">
        <x:v>CABLE H07Z1-K CPR 1X1.5 NEGRO</x:v>
      </x:c>
      <x:c r="G449" s="38" t="str">
        <x:v>CABLE / 555157</x:v>
      </x:c>
      <x:c r="H449" s="38" t="str">
        <x:v>Comercial Eléctrica Canarias, S.A.</x:v>
      </x:c>
      <x:c r="I449" s="38" t="str">
        <x:v>Factura 92320225</x:v>
      </x:c>
      <x:c r="J449" s="115" t="str">
        <x:v>15/06/2025</x:v>
      </x:c>
      <x:c r="K449" s="38" t="str">
        <x:v>Albarán 132.722/013 (12/06/2025)</x:v>
      </x:c>
      <x:c r="L449" s="38" t="n">
        <x:v>34</x:v>
      </x:c>
      <x:c r="M449" s="38" t="str">
        <x:v>Metro</x:v>
      </x:c>
      <x:c r="N449" s="38" t="n">
        <x:v>1</x:v>
      </x:c>
      <x:c r="O449" s="38" t="str">
        <x:v>Metro</x:v>
      </x:c>
      <x:c r="P449" s="99" t="n">
        <x:v>0.195</x:v>
      </x:c>
      <x:c r="Q449" s="114" t="n">
        <x:v>0</x:v>
      </x:c>
      <x:c r="R449" s="99" t="n">
        <x:v>6.63</x:v>
      </x:c>
      <x:c r="S449" s="99" t="n">
        <x:f>IFERROR(R449/L449,P449*(1-Q449))</x:f>
        <x:v>0.195</x:v>
      </x:c>
      <x:c r="T449" s="114" t="n">
        <x:v>0.07</x:v>
      </x:c>
      <x:c r="U449" s="99" t="n">
        <x:f>S449*(1+T449)</x:f>
        <x:v>0.20865000000000003</x:v>
      </x:c>
      <x:c r="V449" s="99" t="n">
        <x:f>S449</x:f>
        <x:v>0.195</x:v>
      </x:c>
      <x:c r="W449" s="99" t="n">
        <x:f>V449-S449</x:f>
        <x:v>0</x:v>
      </x:c>
      <x:c r="X449" s="114" t="n">
        <x:f>IFERROR(W449/V449,0)</x:f>
        <x:v>0</x:v>
      </x:c>
      <x:c r="Y449" s="38" t="str">
        <x:v>Por metros</x:v>
      </x:c>
      <x:c r="Z449" s="38" t="str">
        <x:f>IF(Y449="Botella / 3 instalaciones","Precio botella / 3",IF(Y449="Por rollo o metros proporcionales","Si se pasa rollo: rollo completo. Si se pasan metros: proporcional",Y449))</x:f>
        <x:v>Por metros</x:v>
      </x:c>
      <x:c r="AA449" s="38" t="n">
        <x:v>1</x:v>
      </x:c>
      <x:c r="AB449" s="38" t="str"/>
      <x:c r="AC449" s="38" t="str"/>
      <x:c r="AD449" s="116" t="str">
        <x:v>2026-06-30</x:v>
      </x:c>
      <x:c r="AE449" s="38" t="str">
        <x:v>No</x:v>
      </x:c>
      <x:c r="AF449" s="38" t="str"/>
    </x:row>
    <x:row r="450">
      <x:c r="A450" s="38" t="str">
        <x:v>MAT-0449</x:v>
      </x:c>
      <x:c r="B450" s="38" t="str">
        <x:v>Sí</x:v>
      </x:c>
      <x:c r="C450" s="38" t="str">
        <x:v>Tubería frigorífica</x:v>
      </x:c>
      <x:c r="D450" s="38" t="str">
        <x:v>Cobre frigorífico aislado</x:v>
      </x:c>
      <x:c r="E450" s="38" t="str">
        <x:v>Tubo Frigorif.1/4+1/2 Roll.20M</x:v>
      </x:c>
      <x:c r="F450" s="38" t="str">
        <x:v>TUBO FRIGORIF.1/4+1/2 ROLL.20M</x:v>
      </x:c>
      <x:c r="G450" s="38" t="str">
        <x:v>ESC-TF01453 / 7010401</x:v>
      </x:c>
      <x:c r="H450" s="38" t="str">
        <x:v>Comercial Eléctrica Canarias, S.A.</x:v>
      </x:c>
      <x:c r="I450" s="38" t="str">
        <x:v>Factura 92320225</x:v>
      </x:c>
      <x:c r="J450" s="115" t="str">
        <x:v>15/06/2025</x:v>
      </x:c>
      <x:c r="K450" s="38" t="str">
        <x:v>Albarán 202.597/020 (12/06/2025)</x:v>
      </x:c>
      <x:c r="L450" s="38" t="n">
        <x:v>1</x:v>
      </x:c>
      <x:c r="M450" s="38" t="str">
        <x:v>Rollo</x:v>
      </x:c>
      <x:c r="N450" s="38" t="n">
        <x:v>20</x:v>
      </x:c>
      <x:c r="O450" s="38" t="str">
        <x:v>Metro</x:v>
      </x:c>
      <x:c r="P450" s="99" t="n">
        <x:v>119</x:v>
      </x:c>
      <x:c r="Q450" s="114" t="n">
        <x:v>0</x:v>
      </x:c>
      <x:c r="R450" s="99" t="n">
        <x:v>119</x:v>
      </x:c>
      <x:c r="S450" s="99" t="n">
        <x:f>IFERROR(R450/L450,P450*(1-Q450))</x:f>
        <x:v>119</x:v>
      </x:c>
      <x:c r="T450" s="114" t="n">
        <x:v>0.07</x:v>
      </x:c>
      <x:c r="U450" s="99" t="n">
        <x:f>S450*(1+T450)</x:f>
        <x:v>127.33000000000001</x:v>
      </x:c>
      <x:c r="V450" s="99" t="n">
        <x:f>S450</x:f>
        <x:v>119</x:v>
      </x:c>
      <x:c r="W450" s="99" t="n">
        <x:f>V450-S450</x:f>
        <x:v>0</x:v>
      </x:c>
      <x:c r="X450" s="114" t="n">
        <x:f>IFERROR(W450/V450,0)</x:f>
        <x:v>0</x:v>
      </x:c>
      <x:c r="Y450" s="38" t="str">
        <x:v>Por rollo o metros proporcionales</x:v>
      </x:c>
      <x:c r="Z450" s="38" t="str">
        <x:f>IF(Y450="Botella / 3 instalaciones","Precio botella / 3",IF(Y450="Por rollo o metros proporcionales","Si se pasa rollo: rollo completo. Si se pasan metros: proporcional",Y450))</x:f>
        <x:v>Si se pasa rollo: rollo completo. Si se pasan metros: proporcional</x:v>
      </x:c>
      <x:c r="AA450" s="38" t="n">
        <x:v>20</x:v>
      </x:c>
      <x:c r="AB450" s="38" t="str">
        <x:v>Sánchez Arencibia, S.A.</x:v>
      </x:c>
      <x:c r="AC450" s="38" t="str">
        <x:v>Alta</x:v>
      </x:c>
      <x:c r="AD450" s="116" t="str">
        <x:v>2026-06-30</x:v>
      </x:c>
      <x:c r="AE450" s="38" t="str">
        <x:v>No</x:v>
      </x:c>
      <x:c r="AF450" s="38" t="str"/>
    </x:row>
    <x:row r="451">
      <x:c r="A451" s="38" t="str">
        <x:v>MAT-0450</x:v>
      </x:c>
      <x:c r="B451" s="38" t="str">
        <x:v>Sí</x:v>
      </x:c>
      <x:c r="C451" s="38" t="str">
        <x:v>Soportes y fijaciones</x:v>
      </x:c>
      <x:c r="D451" s="38" t="str">
        <x:v>Soportes/amortiguadores</x:v>
      </x:c>
      <x:c r="E451" s="38" t="str">
        <x:v>Soporte Soldado 500Mm 75Kg.</x:v>
      </x:c>
      <x:c r="F451" s="38" t="str">
        <x:v>SOPORTE SOLDADO 500mm 75Kg.</x:v>
      </x:c>
      <x:c r="G451" s="38" t="str">
        <x:v>1802-5000 / 7560103</x:v>
      </x:c>
      <x:c r="H451" s="38" t="str">
        <x:v>Comercial Eléctrica Canarias, S.A.</x:v>
      </x:c>
      <x:c r="I451" s="38" t="str">
        <x:v>Factura 92320225</x:v>
      </x:c>
      <x:c r="J451" s="115" t="str">
        <x:v>15/06/2025</x:v>
      </x:c>
      <x:c r="K451" s="38" t="str">
        <x:v>Albarán 202.597/020 (12/06/2025)</x:v>
      </x:c>
      <x:c r="L451" s="38" t="n">
        <x:v>1</x:v>
      </x:c>
      <x:c r="M451" s="38" t="str">
        <x:v>Unidad</x:v>
      </x:c>
      <x:c r="N451" s="38" t="n">
        <x:v>1</x:v>
      </x:c>
      <x:c r="O451" s="38" t="str">
        <x:v>Unidad</x:v>
      </x:c>
      <x:c r="P451" s="99" t="n">
        <x:v>9.346</x:v>
      </x:c>
      <x:c r="Q451" s="114" t="n">
        <x:v>0</x:v>
      </x:c>
      <x:c r="R451" s="99" t="n">
        <x:v>9.35</x:v>
      </x:c>
      <x:c r="S451" s="99" t="n">
        <x:f>IFERROR(R451/L451,P451*(1-Q451))</x:f>
        <x:v>9.35</x:v>
      </x:c>
      <x:c r="T451" s="114" t="n">
        <x:v>0.07</x:v>
      </x:c>
      <x:c r="U451" s="99" t="n">
        <x:f>S451*(1+T451)</x:f>
        <x:v>10.0045</x:v>
      </x:c>
      <x:c r="V451" s="99" t="n">
        <x:f>S451</x:f>
        <x:v>9.35</x:v>
      </x:c>
      <x:c r="W451" s="99" t="n">
        <x:f>V451-S451</x:f>
        <x:v>0</x:v>
      </x:c>
      <x:c r="X451" s="114" t="n">
        <x:f>IFERROR(W451/V451,0)</x:f>
        <x:v>0</x:v>
      </x:c>
      <x:c r="Y451" s="38" t="str">
        <x:v>Por unidad</x:v>
      </x:c>
      <x:c r="Z451" s="38" t="str">
        <x:f>IF(Y451="Botella / 3 instalaciones","Precio botella / 3",IF(Y451="Por rollo o metros proporcionales","Si se pasa rollo: rollo completo. Si se pasan metros: proporcional",Y451))</x:f>
        <x:v>Por unidad</x:v>
      </x:c>
      <x:c r="AA451" s="38" t="n">
        <x:v>1</x:v>
      </x:c>
      <x:c r="AB451" s="38" t="str">
        <x:v>Sánchez Arencibia, S.A.</x:v>
      </x:c>
      <x:c r="AC451" s="38" t="str">
        <x:v>Media</x:v>
      </x:c>
      <x:c r="AD451" s="116" t="str">
        <x:v>2026-06-30</x:v>
      </x:c>
      <x:c r="AE451" s="38" t="str">
        <x:v>No</x:v>
      </x:c>
      <x:c r="AF451" s="38" t="str">
        <x:v>Comparativa orientativa: revisar ficha/medida antes de decidir proveedor.</x:v>
      </x:c>
    </x:row>
    <x:row r="452">
      <x:c r="A452" s="38" t="str">
        <x:v>MAT-0451</x:v>
      </x:c>
      <x:c r="B452" s="38" t="str">
        <x:v>Sí</x:v>
      </x:c>
      <x:c r="C452" s="38" t="str">
        <x:v>Sin clasificar</x:v>
      </x:c>
      <x:c r="D452" s="38" t="str"/>
      <x:c r="E452" s="38" t="str">
        <x:v>Tubo Reflex M25</x:v>
      </x:c>
      <x:c r="F452" s="38" t="str">
        <x:v>TUBO REFLEX M25</x:v>
      </x:c>
      <x:c r="G452" s="38" t="str">
        <x:v>CAN-80100025 / 366</x:v>
      </x:c>
      <x:c r="H452" s="38" t="str">
        <x:v>Comercial Eléctrica Canarias, S.A.</x:v>
      </x:c>
      <x:c r="I452" s="38" t="str">
        <x:v>Factura 92320225</x:v>
      </x:c>
      <x:c r="J452" s="115" t="str">
        <x:v>15/06/2025</x:v>
      </x:c>
      <x:c r="K452" s="38" t="str">
        <x:v>Albarán 302.869/001 (03/06/2025)</x:v>
      </x:c>
      <x:c r="L452" s="38" t="n">
        <x:v>100</x:v>
      </x:c>
      <x:c r="M452" s="38" t="str">
        <x:v>m²</x:v>
      </x:c>
      <x:c r="N452" s="38" t="n">
        <x:v>1</x:v>
      </x:c>
      <x:c r="O452" s="38" t="str">
        <x:v>m²</x:v>
      </x:c>
      <x:c r="P452" s="99" t="n">
        <x:v>0.257</x:v>
      </x:c>
      <x:c r="Q452" s="114" t="n">
        <x:v>0</x:v>
      </x:c>
      <x:c r="R452" s="99" t="n">
        <x:v>25.7</x:v>
      </x:c>
      <x:c r="S452" s="99" t="n">
        <x:f>IFERROR(R452/L452,P452*(1-Q452))</x:f>
        <x:v>0.257</x:v>
      </x:c>
      <x:c r="T452" s="114" t="n">
        <x:v>0.03</x:v>
      </x:c>
      <x:c r="U452" s="99" t="n">
        <x:f>S452*(1+T452)</x:f>
        <x:v>0.26471</x:v>
      </x:c>
      <x:c r="V452" s="99" t="n">
        <x:f>S452</x:f>
        <x:v>0.257</x:v>
      </x:c>
      <x:c r="W452" s="99" t="n">
        <x:f>V452-S452</x:f>
        <x:v>0</x:v>
      </x:c>
      <x:c r="X452" s="114" t="n">
        <x:f>IFERROR(W452/V452,0)</x:f>
        <x:v>0</x:v>
      </x:c>
      <x:c r="Y452" s="38" t="str">
        <x:v>Por unidad</x:v>
      </x:c>
      <x:c r="Z452" s="38" t="str">
        <x:f>IF(Y452="Botella / 3 instalaciones","Precio botella / 3",IF(Y452="Por rollo o metros proporcionales","Si se pasa rollo: rollo completo. Si se pasan metros: proporcional",Y452))</x:f>
        <x:v>Por unidad</x:v>
      </x:c>
      <x:c r="AA452" s="38" t="n">
        <x:v>1</x:v>
      </x:c>
      <x:c r="AB452" s="38" t="str"/>
      <x:c r="AC452" s="38" t="str"/>
      <x:c r="AD452" s="116" t="str">
        <x:v>2026-06-30</x:v>
      </x:c>
      <x:c r="AE452" s="38" t="str">
        <x:v>Sí</x:v>
      </x:c>
      <x:c r="AF452" s="38" t="str">
        <x:v>Revisar categoría antes de usar en cálculo automático.</x:v>
      </x:c>
    </x:row>
    <x:row r="453">
      <x:c r="A453" s="38" t="str">
        <x:v>MAT-0452</x:v>
      </x:c>
      <x:c r="B453" s="38" t="str">
        <x:v>Sí</x:v>
      </x:c>
      <x:c r="C453" s="38" t="str">
        <x:v>Sin clasificar</x:v>
      </x:c>
      <x:c r="D453" s="38" t="str"/>
      <x:c r="E453" s="38" t="str">
        <x:v>Total General</x:v>
      </x:c>
      <x:c r="F453" s="38" t="str">
        <x:v>Total General</x:v>
      </x:c>
      <x:c r="G453" s="38" t="str"/>
      <x:c r="H453" s="38" t="str"/>
      <x:c r="I453" s="38" t="str"/>
      <x:c r="J453" s="115" t="str"/>
      <x:c r="K453" s="38" t="str"/>
      <x:c r="L453" s="38"/>
      <x:c r="M453" s="38" t="str">
        <x:v>Unidad</x:v>
      </x:c>
      <x:c r="N453" s="38" t="n">
        <x:v>1</x:v>
      </x:c>
      <x:c r="O453" s="38" t="str">
        <x:v>Unidad</x:v>
      </x:c>
      <x:c r="P453" s="99"/>
      <x:c r="Q453" s="114"/>
      <x:c r="R453" s="99" t="n">
        <x:v>39963.31000000002</x:v>
      </x:c>
      <x:c r="S453" s="99" t="n">
        <x:f>IFERROR(R453/L453,P453*(1-Q453))</x:f>
        <x:v>0</x:v>
      </x:c>
      <x:c r="T453" s="114"/>
      <x:c r="U453" s="99" t="n">
        <x:f>S453*(1+T453)</x:f>
        <x:v>0</x:v>
      </x:c>
      <x:c r="V453" s="99" t="n">
        <x:f>S453</x:f>
        <x:v>0</x:v>
      </x:c>
      <x:c r="W453" s="99" t="n">
        <x:f>V453-S453</x:f>
        <x:v>0</x:v>
      </x:c>
      <x:c r="X453" s="114" t="n">
        <x:f>IFERROR(W453/V453,0)</x:f>
        <x:v>0</x:v>
      </x:c>
      <x:c r="Y453" s="38" t="str">
        <x:v>Por unidad</x:v>
      </x:c>
      <x:c r="Z453" s="38" t="str">
        <x:f>IF(Y453="Botella / 3 instalaciones","Precio botella / 3",IF(Y453="Por rollo o metros proporcionales","Si se pasa rollo: rollo completo. Si se pasan metros: proporcional",Y453))</x:f>
        <x:v>Por unidad</x:v>
      </x:c>
      <x:c r="AA453" s="38" t="n">
        <x:v>1</x:v>
      </x:c>
      <x:c r="AB453" s="38" t="str"/>
      <x:c r="AC453" s="38" t="str"/>
      <x:c r="AD453" s="116" t="str">
        <x:v>2026-06-30</x:v>
      </x:c>
      <x:c r="AE453" s="38" t="str">
        <x:v>Sí</x:v>
      </x:c>
      <x:c r="AF453" s="38" t="str">
        <x:v>Revisar categoría antes de usar en cálculo automático.</x:v>
      </x:c>
    </x:row>
  </x:sheetData>
  <x:conditionalFormatting sqref="AE2:AE453">
    <x:cfRule type="expression" dxfId="1" priority="1">
      <x:formula>$AE2="Sí"</x:formula>
    </x:cfRule>
  </x:conditionalFormatting>
  <x:conditionalFormatting sqref="X2:X453">
    <x:cfRule type="expression" dxfId="2" priority="2">
      <x:formula>$X2&lt;0.15</x:formula>
    </x:cfRule>
  </x:conditionalFormatting>
  <x:conditionalFormatting sqref="C2:C453">
    <x:cfRule type="expression" dxfId="3" priority="3">
      <x:formula>$C2="Sin clasificar"</x:formula>
    </x:cfRule>
  </x:conditionalFormatting>
  <x:dataValidations count="7">
    <x:dataValidation type="list" sqref="B2:B453">
      <x:formula1>Listas_EON!$D$2:$D$3</x:formula1>
    </x:dataValidation>
    <x:dataValidation type="list" sqref="C2:C453">
      <x:formula1>Listas_EON!$A$2:$A$12</x:formula1>
    </x:dataValidation>
    <x:dataValidation type="list" sqref="M2:M453">
      <x:formula1>Listas_EON!$B$2:$B$12</x:formula1>
    </x:dataValidation>
    <x:dataValidation type="list" sqref="O2:O453">
      <x:formula1>Listas_EON!$B$2:$B$12</x:formula1>
    </x:dataValidation>
    <x:dataValidation type="list" sqref="Y2:Y453">
      <x:formula1>Listas_EON!$C$2:$C$8</x:formula1>
    </x:dataValidation>
    <x:dataValidation type="list" sqref="AE2:AE453">
      <x:formula1>Listas_EON!$D$2:$D$3</x:formula1>
    </x:dataValidation>
    <x:dataValidation type="list" sqref="AC2:AC453">
      <x:formula1>Listas_EON!$E$2:$E$6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52632b19c749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20" hidden="0" customWidth="1"/>
    <x:col min="5" max="5" width="40" hidden="0" customWidth="1"/>
    <x:col min="6" max="6" width="28" hidden="0" customWidth="1"/>
    <x:col min="7" max="7" width="16" hidden="0" customWidth="1"/>
    <x:col min="8" max="8" width="18" hidden="0" customWidth="1"/>
    <x:col min="9" max="9" width="18" hidden="0" customWidth="1"/>
    <x:col min="10" max="10" width="10" hidden="0" customWidth="1"/>
    <x:col min="11" max="11" width="38" hidden="0" customWidth="1"/>
    <x:col min="12" max="12" width="20" hidden="0" customWidth="1"/>
  </x:cols>
  <x:sheetData>
    <x:row r="1">
      <x:c r="A1" s="122" t="str">
        <x:v>Estado</x:v>
      </x:c>
      <x:c r="B1" s="122" t="str">
        <x:v>Fecha</x:v>
      </x:c>
      <x:c r="C1" s="122" t="str">
        <x:v>Material/Pieza faltante</x:v>
      </x:c>
      <x:c r="D1" s="122" t="str">
        <x:v>Categoría</x:v>
      </x:c>
      <x:c r="E1" s="122" t="str">
        <x:v>Descripción necesaria</x:v>
      </x:c>
      <x:c r="F1" s="122" t="str">
        <x:v>Proveedor sugerido</x:v>
      </x:c>
      <x:c r="G1" s="122" t="str">
        <x:v>Cantidad/Unidad</x:v>
      </x:c>
      <x:c r="H1" s="122" t="str">
        <x:v>Coste proveedor sin IGIC</x:v>
      </x:c>
      <x:c r="I1" s="122" t="str">
        <x:v>Precio cliente sin IGIC</x:v>
      </x:c>
      <x:c r="J1" s="122" t="str">
        <x:v>IGIC</x:v>
      </x:c>
      <x:c r="K1" s="122" t="str">
        <x:v>Observaciones</x:v>
      </x:c>
      <x:c r="L1" s="122" t="str">
        <x:v>Añadido a Materiales_EON</x:v>
      </x:c>
    </x:row>
    <x:row r="2">
      <x:c r="A2" s="38" t="str">
        <x:v>Pendiente</x:v>
      </x:c>
      <x:c r="B2" s="38" t="str"/>
      <x:c r="C2" s="38" t="str"/>
      <x:c r="D2" s="38" t="str"/>
      <x:c r="E2" s="38" t="str"/>
      <x:c r="F2" s="38" t="str"/>
      <x:c r="G2" s="38" t="str"/>
      <x:c r="H2" s="38" t="str"/>
      <x:c r="I2" s="38" t="str"/>
      <x:c r="J2" s="38" t="n">
        <x:v>0.07</x:v>
      </x:c>
      <x:c r="K2" s="38" t="str"/>
      <x:c r="L2" s="38" t="str">
        <x:v>No</x:v>
      </x:c>
    </x:row>
    <x:row r="3">
      <x:c r="A3" s="38" t="str">
        <x:v>Pendiente</x:v>
      </x:c>
      <x:c r="B3" s="38" t="str"/>
      <x:c r="C3" s="38" t="str"/>
      <x:c r="D3" s="38" t="str"/>
      <x:c r="E3" s="38" t="str"/>
      <x:c r="F3" s="38" t="str"/>
      <x:c r="G3" s="38" t="str"/>
      <x:c r="H3" s="38" t="str"/>
      <x:c r="I3" s="38" t="str"/>
      <x:c r="J3" s="38" t="n">
        <x:v>0.07</x:v>
      </x:c>
      <x:c r="K3" s="38" t="str"/>
      <x:c r="L3" s="38" t="str">
        <x:v>No</x:v>
      </x:c>
    </x:row>
    <x:row r="4">
      <x:c r="A4" s="38" t="str">
        <x:v>Pendiente</x:v>
      </x:c>
      <x:c r="B4" s="38" t="str"/>
      <x:c r="C4" s="38" t="str"/>
      <x:c r="D4" s="38" t="str"/>
      <x:c r="E4" s="38" t="str"/>
      <x:c r="F4" s="38" t="str"/>
      <x:c r="G4" s="38" t="str"/>
      <x:c r="H4" s="38" t="str"/>
      <x:c r="I4" s="38" t="str"/>
      <x:c r="J4" s="38" t="n">
        <x:v>0.07</x:v>
      </x:c>
      <x:c r="K4" s="38" t="str"/>
      <x:c r="L4" s="38" t="str">
        <x:v>No</x:v>
      </x:c>
    </x:row>
    <x:row r="5">
      <x:c r="A5" s="38" t="str">
        <x:v>Pendiente</x:v>
      </x:c>
      <x:c r="B5" s="38" t="str"/>
      <x:c r="C5" s="38" t="str"/>
      <x:c r="D5" s="38" t="str"/>
      <x:c r="E5" s="38" t="str"/>
      <x:c r="F5" s="38" t="str"/>
      <x:c r="G5" s="38" t="str"/>
      <x:c r="H5" s="38" t="str"/>
      <x:c r="I5" s="38" t="str"/>
      <x:c r="J5" s="38" t="n">
        <x:v>0.07</x:v>
      </x:c>
      <x:c r="K5" s="38" t="str"/>
      <x:c r="L5" s="38" t="str">
        <x:v>No</x:v>
      </x:c>
    </x:row>
    <x:row r="6">
      <x:c r="A6" s="38" t="str">
        <x:v>Pendiente</x:v>
      </x:c>
      <x:c r="B6" s="38" t="str"/>
      <x:c r="C6" s="38" t="str"/>
      <x:c r="D6" s="38" t="str"/>
      <x:c r="E6" s="38" t="str"/>
      <x:c r="F6" s="38" t="str"/>
      <x:c r="G6" s="38" t="str"/>
      <x:c r="H6" s="38" t="str"/>
      <x:c r="I6" s="38" t="str"/>
      <x:c r="J6" s="38" t="n">
        <x:v>0.07</x:v>
      </x:c>
      <x:c r="K6" s="38" t="str"/>
      <x:c r="L6" s="38" t="str">
        <x:v>No</x:v>
      </x:c>
    </x:row>
    <x:row r="7">
      <x:c r="A7" s="38" t="str">
        <x:v>Pendiente</x:v>
      </x:c>
      <x:c r="B7" s="38" t="str"/>
      <x:c r="C7" s="38" t="str"/>
      <x:c r="D7" s="38" t="str"/>
      <x:c r="E7" s="38" t="str"/>
      <x:c r="F7" s="38" t="str"/>
      <x:c r="G7" s="38" t="str"/>
      <x:c r="H7" s="38" t="str"/>
      <x:c r="I7" s="38" t="str"/>
      <x:c r="J7" s="38" t="n">
        <x:v>0.07</x:v>
      </x:c>
      <x:c r="K7" s="38" t="str"/>
      <x:c r="L7" s="38" t="str">
        <x:v>No</x:v>
      </x:c>
    </x:row>
    <x:row r="8">
      <x:c r="A8" s="38" t="str">
        <x:v>Pendiente</x:v>
      </x:c>
      <x:c r="B8" s="38" t="str"/>
      <x:c r="C8" s="38" t="str"/>
      <x:c r="D8" s="38" t="str"/>
      <x:c r="E8" s="38" t="str"/>
      <x:c r="F8" s="38" t="str"/>
      <x:c r="G8" s="38" t="str"/>
      <x:c r="H8" s="38" t="str"/>
      <x:c r="I8" s="38" t="str"/>
      <x:c r="J8" s="38" t="n">
        <x:v>0.07</x:v>
      </x:c>
      <x:c r="K8" s="38" t="str"/>
      <x:c r="L8" s="38" t="str">
        <x:v>No</x:v>
      </x:c>
    </x:row>
    <x:row r="9">
      <x:c r="A9" s="38" t="str">
        <x:v>Pendiente</x:v>
      </x:c>
      <x:c r="B9" s="38" t="str"/>
      <x:c r="C9" s="38" t="str"/>
      <x:c r="D9" s="38" t="str"/>
      <x:c r="E9" s="38" t="str"/>
      <x:c r="F9" s="38" t="str"/>
      <x:c r="G9" s="38" t="str"/>
      <x:c r="H9" s="38" t="str"/>
      <x:c r="I9" s="38" t="str"/>
      <x:c r="J9" s="38" t="n">
        <x:v>0.07</x:v>
      </x:c>
      <x:c r="K9" s="38" t="str"/>
      <x:c r="L9" s="38" t="str">
        <x:v>No</x:v>
      </x:c>
    </x:row>
    <x:row r="10">
      <x:c r="A10" s="38" t="str">
        <x:v>Pendiente</x:v>
      </x:c>
      <x:c r="B10" s="38" t="str"/>
      <x:c r="C10" s="38" t="str"/>
      <x:c r="D10" s="38" t="str"/>
      <x:c r="E10" s="38" t="str"/>
      <x:c r="F10" s="38" t="str"/>
      <x:c r="G10" s="38" t="str"/>
      <x:c r="H10" s="38" t="str"/>
      <x:c r="I10" s="38" t="str"/>
      <x:c r="J10" s="38" t="n">
        <x:v>0.07</x:v>
      </x:c>
      <x:c r="K10" s="38" t="str"/>
      <x:c r="L10" s="38" t="str">
        <x:v>No</x:v>
      </x:c>
    </x:row>
    <x:row r="11">
      <x:c r="A11" s="38" t="str">
        <x:v>Pendiente</x:v>
      </x:c>
      <x:c r="B11" s="38" t="str"/>
      <x:c r="C11" s="38" t="str"/>
      <x:c r="D11" s="38" t="str"/>
      <x:c r="E11" s="38" t="str"/>
      <x:c r="F11" s="38" t="str"/>
      <x:c r="G11" s="38" t="str"/>
      <x:c r="H11" s="38" t="str"/>
      <x:c r="I11" s="38" t="str"/>
      <x:c r="J11" s="38" t="n">
        <x:v>0.07</x:v>
      </x:c>
      <x:c r="K11" s="38" t="str"/>
      <x:c r="L11" s="38" t="str">
        <x:v>No</x:v>
      </x:c>
    </x:row>
    <x:row r="12">
      <x:c r="A12" s="38" t="str">
        <x:v>Pendiente</x:v>
      </x:c>
      <x:c r="B12" s="38" t="str"/>
      <x:c r="C12" s="38" t="str"/>
      <x:c r="D12" s="38" t="str"/>
      <x:c r="E12" s="38" t="str"/>
      <x:c r="F12" s="38" t="str"/>
      <x:c r="G12" s="38" t="str"/>
      <x:c r="H12" s="38" t="str"/>
      <x:c r="I12" s="38" t="str"/>
      <x:c r="J12" s="38" t="n">
        <x:v>0.07</x:v>
      </x:c>
      <x:c r="K12" s="38" t="str"/>
      <x:c r="L12" s="38" t="str">
        <x:v>No</x:v>
      </x:c>
    </x:row>
    <x:row r="13">
      <x:c r="A13" s="38" t="str">
        <x:v>Pendiente</x:v>
      </x:c>
      <x:c r="B13" s="38" t="str"/>
      <x:c r="C13" s="38" t="str"/>
      <x:c r="D13" s="38" t="str"/>
      <x:c r="E13" s="38" t="str"/>
      <x:c r="F13" s="38" t="str"/>
      <x:c r="G13" s="38" t="str"/>
      <x:c r="H13" s="38" t="str"/>
      <x:c r="I13" s="38" t="str"/>
      <x:c r="J13" s="38" t="n">
        <x:v>0.07</x:v>
      </x:c>
      <x:c r="K13" s="38" t="str"/>
      <x:c r="L13" s="38" t="str">
        <x:v>No</x:v>
      </x:c>
    </x:row>
    <x:row r="14">
      <x:c r="A14" s="38" t="str">
        <x:v>Pendiente</x:v>
      </x:c>
      <x:c r="B14" s="38" t="str"/>
      <x:c r="C14" s="38" t="str"/>
      <x:c r="D14" s="38" t="str"/>
      <x:c r="E14" s="38" t="str"/>
      <x:c r="F14" s="38" t="str"/>
      <x:c r="G14" s="38" t="str"/>
      <x:c r="H14" s="38" t="str"/>
      <x:c r="I14" s="38" t="str"/>
      <x:c r="J14" s="38" t="n">
        <x:v>0.07</x:v>
      </x:c>
      <x:c r="K14" s="38" t="str"/>
      <x:c r="L14" s="38" t="str">
        <x:v>No</x:v>
      </x:c>
    </x:row>
    <x:row r="15">
      <x:c r="A15" s="38" t="str">
        <x:v>Pendiente</x:v>
      </x:c>
      <x:c r="B15" s="38" t="str"/>
      <x:c r="C15" s="38" t="str"/>
      <x:c r="D15" s="38" t="str"/>
      <x:c r="E15" s="38" t="str"/>
      <x:c r="F15" s="38" t="str"/>
      <x:c r="G15" s="38" t="str"/>
      <x:c r="H15" s="38" t="str"/>
      <x:c r="I15" s="38" t="str"/>
      <x:c r="J15" s="38" t="n">
        <x:v>0.07</x:v>
      </x:c>
      <x:c r="K15" s="38" t="str"/>
      <x:c r="L15" s="38" t="str">
        <x:v>No</x:v>
      </x:c>
    </x:row>
    <x:row r="16">
      <x:c r="A16" s="38" t="str">
        <x:v>Pendiente</x:v>
      </x:c>
      <x:c r="B16" s="38" t="str"/>
      <x:c r="C16" s="38" t="str"/>
      <x:c r="D16" s="38" t="str"/>
      <x:c r="E16" s="38" t="str"/>
      <x:c r="F16" s="38" t="str"/>
      <x:c r="G16" s="38" t="str"/>
      <x:c r="H16" s="38" t="str"/>
      <x:c r="I16" s="38" t="str"/>
      <x:c r="J16" s="38" t="n">
        <x:v>0.07</x:v>
      </x:c>
      <x:c r="K16" s="38" t="str"/>
      <x:c r="L16" s="38" t="str">
        <x:v>No</x:v>
      </x:c>
    </x:row>
    <x:row r="17">
      <x:c r="A17" s="38" t="str">
        <x:v>Pendiente</x:v>
      </x:c>
      <x:c r="B17" s="38" t="str"/>
      <x:c r="C17" s="38" t="str"/>
      <x:c r="D17" s="38" t="str"/>
      <x:c r="E17" s="38" t="str"/>
      <x:c r="F17" s="38" t="str"/>
      <x:c r="G17" s="38" t="str"/>
      <x:c r="H17" s="38" t="str"/>
      <x:c r="I17" s="38" t="str"/>
      <x:c r="J17" s="38" t="n">
        <x:v>0.07</x:v>
      </x:c>
      <x:c r="K17" s="38" t="str"/>
      <x:c r="L17" s="38" t="str">
        <x:v>No</x:v>
      </x:c>
    </x:row>
    <x:row r="18">
      <x:c r="A18" s="38" t="str">
        <x:v>Pendiente</x:v>
      </x:c>
      <x:c r="B18" s="38" t="str"/>
      <x:c r="C18" s="38" t="str"/>
      <x:c r="D18" s="38" t="str"/>
      <x:c r="E18" s="38" t="str"/>
      <x:c r="F18" s="38" t="str"/>
      <x:c r="G18" s="38" t="str"/>
      <x:c r="H18" s="38" t="str"/>
      <x:c r="I18" s="38" t="str"/>
      <x:c r="J18" s="38" t="n">
        <x:v>0.07</x:v>
      </x:c>
      <x:c r="K18" s="38" t="str"/>
      <x:c r="L18" s="38" t="str">
        <x:v>No</x:v>
      </x:c>
    </x:row>
    <x:row r="19">
      <x:c r="A19" s="38" t="str">
        <x:v>Pendiente</x:v>
      </x:c>
      <x:c r="B19" s="38" t="str"/>
      <x:c r="C19" s="38" t="str"/>
      <x:c r="D19" s="38" t="str"/>
      <x:c r="E19" s="38" t="str"/>
      <x:c r="F19" s="38" t="str"/>
      <x:c r="G19" s="38" t="str"/>
      <x:c r="H19" s="38" t="str"/>
      <x:c r="I19" s="38" t="str"/>
      <x:c r="J19" s="38" t="n">
        <x:v>0.07</x:v>
      </x:c>
      <x:c r="K19" s="38" t="str"/>
      <x:c r="L19" s="38" t="str">
        <x:v>No</x:v>
      </x:c>
    </x:row>
    <x:row r="20">
      <x:c r="A20" s="38" t="str">
        <x:v>Pendiente</x:v>
      </x:c>
      <x:c r="B20" s="38" t="str"/>
      <x:c r="C20" s="38" t="str"/>
      <x:c r="D20" s="38" t="str"/>
      <x:c r="E20" s="38" t="str"/>
      <x:c r="F20" s="38" t="str"/>
      <x:c r="G20" s="38" t="str"/>
      <x:c r="H20" s="38" t="str"/>
      <x:c r="I20" s="38" t="str"/>
      <x:c r="J20" s="38" t="n">
        <x:v>0.07</x:v>
      </x:c>
      <x:c r="K20" s="38" t="str"/>
      <x:c r="L20" s="38" t="str">
        <x:v>No</x:v>
      </x:c>
    </x:row>
    <x:row r="21">
      <x:c r="A21" s="38" t="str">
        <x:v>Pendiente</x:v>
      </x:c>
      <x:c r="B21" s="38" t="str"/>
      <x:c r="C21" s="38" t="str"/>
      <x:c r="D21" s="38" t="str"/>
      <x:c r="E21" s="38" t="str"/>
      <x:c r="F21" s="38" t="str"/>
      <x:c r="G21" s="38" t="str"/>
      <x:c r="H21" s="38" t="str"/>
      <x:c r="I21" s="38" t="str"/>
      <x:c r="J21" s="38" t="n">
        <x:v>0.07</x:v>
      </x:c>
      <x:c r="K21" s="38" t="str"/>
      <x:c r="L21" s="38" t="str">
        <x:v>No</x:v>
      </x:c>
    </x:row>
    <x:row r="22">
      <x:c r="A22" s="38" t="str">
        <x:v>Pendiente</x:v>
      </x:c>
      <x:c r="B22" s="38" t="str"/>
      <x:c r="C22" s="38" t="str"/>
      <x:c r="D22" s="38" t="str"/>
      <x:c r="E22" s="38" t="str"/>
      <x:c r="F22" s="38" t="str"/>
      <x:c r="G22" s="38" t="str"/>
      <x:c r="H22" s="38" t="str"/>
      <x:c r="I22" s="38" t="str"/>
      <x:c r="J22" s="38" t="n">
        <x:v>0.07</x:v>
      </x:c>
      <x:c r="K22" s="38" t="str"/>
      <x:c r="L22" s="38" t="str">
        <x:v>No</x:v>
      </x:c>
    </x:row>
    <x:row r="23">
      <x:c r="A23" s="38" t="str">
        <x:v>Pendiente</x:v>
      </x:c>
      <x:c r="B23" s="38" t="str"/>
      <x:c r="C23" s="38" t="str"/>
      <x:c r="D23" s="38" t="str"/>
      <x:c r="E23" s="38" t="str"/>
      <x:c r="F23" s="38" t="str"/>
      <x:c r="G23" s="38" t="str"/>
      <x:c r="H23" s="38" t="str"/>
      <x:c r="I23" s="38" t="str"/>
      <x:c r="J23" s="38" t="n">
        <x:v>0.07</x:v>
      </x:c>
      <x:c r="K23" s="38" t="str"/>
      <x:c r="L23" s="38" t="str">
        <x:v>No</x:v>
      </x:c>
    </x:row>
    <x:row r="24">
      <x:c r="A24" s="38" t="str">
        <x:v>Pendiente</x:v>
      </x:c>
      <x:c r="B24" s="38" t="str"/>
      <x:c r="C24" s="38" t="str"/>
      <x:c r="D24" s="38" t="str"/>
      <x:c r="E24" s="38" t="str"/>
      <x:c r="F24" s="38" t="str"/>
      <x:c r="G24" s="38" t="str"/>
      <x:c r="H24" s="38" t="str"/>
      <x:c r="I24" s="38" t="str"/>
      <x:c r="J24" s="38" t="n">
        <x:v>0.07</x:v>
      </x:c>
      <x:c r="K24" s="38" t="str"/>
      <x:c r="L24" s="38" t="str">
        <x:v>No</x:v>
      </x:c>
    </x:row>
    <x:row r="25">
      <x:c r="A25" s="38" t="str">
        <x:v>Pendiente</x:v>
      </x:c>
      <x:c r="B25" s="38" t="str"/>
      <x:c r="C25" s="38" t="str"/>
      <x:c r="D25" s="38" t="str"/>
      <x:c r="E25" s="38" t="str"/>
      <x:c r="F25" s="38" t="str"/>
      <x:c r="G25" s="38" t="str"/>
      <x:c r="H25" s="38" t="str"/>
      <x:c r="I25" s="38" t="str"/>
      <x:c r="J25" s="38" t="n">
        <x:v>0.07</x:v>
      </x:c>
      <x:c r="K25" s="38" t="str"/>
      <x:c r="L25" s="38" t="str">
        <x:v>No</x:v>
      </x:c>
    </x:row>
    <x:row r="26">
      <x:c r="A26" s="38" t="str">
        <x:v>Pendiente</x:v>
      </x:c>
      <x:c r="B26" s="38" t="str"/>
      <x:c r="C26" s="38" t="str"/>
      <x:c r="D26" s="38" t="str"/>
      <x:c r="E26" s="38" t="str"/>
      <x:c r="F26" s="38" t="str"/>
      <x:c r="G26" s="38" t="str"/>
      <x:c r="H26" s="38" t="str"/>
      <x:c r="I26" s="38" t="str"/>
      <x:c r="J26" s="38" t="n">
        <x:v>0.07</x:v>
      </x:c>
      <x:c r="K26" s="38" t="str"/>
      <x:c r="L26" s="38" t="str">
        <x:v>No</x:v>
      </x:c>
    </x:row>
    <x:row r="27">
      <x:c r="A27" s="38" t="str">
        <x:v>Pendiente</x:v>
      </x:c>
      <x:c r="B27" s="38" t="str"/>
      <x:c r="C27" s="38" t="str"/>
      <x:c r="D27" s="38" t="str"/>
      <x:c r="E27" s="38" t="str"/>
      <x:c r="F27" s="38" t="str"/>
      <x:c r="G27" s="38" t="str"/>
      <x:c r="H27" s="38" t="str"/>
      <x:c r="I27" s="38" t="str"/>
      <x:c r="J27" s="38" t="n">
        <x:v>0.07</x:v>
      </x:c>
      <x:c r="K27" s="38" t="str"/>
      <x:c r="L27" s="38" t="str">
        <x:v>No</x:v>
      </x:c>
    </x:row>
    <x:row r="28">
      <x:c r="A28" s="38" t="str">
        <x:v>Pendiente</x:v>
      </x:c>
      <x:c r="B28" s="38" t="str"/>
      <x:c r="C28" s="38" t="str"/>
      <x:c r="D28" s="38" t="str"/>
      <x:c r="E28" s="38" t="str"/>
      <x:c r="F28" s="38" t="str"/>
      <x:c r="G28" s="38" t="str"/>
      <x:c r="H28" s="38" t="str"/>
      <x:c r="I28" s="38" t="str"/>
      <x:c r="J28" s="38" t="n">
        <x:v>0.07</x:v>
      </x:c>
      <x:c r="K28" s="38" t="str"/>
      <x:c r="L28" s="38" t="str">
        <x:v>No</x:v>
      </x:c>
    </x:row>
    <x:row r="29">
      <x:c r="A29" s="38" t="str">
        <x:v>Pendiente</x:v>
      </x:c>
      <x:c r="B29" s="38" t="str"/>
      <x:c r="C29" s="38" t="str"/>
      <x:c r="D29" s="38" t="str"/>
      <x:c r="E29" s="38" t="str"/>
      <x:c r="F29" s="38" t="str"/>
      <x:c r="G29" s="38" t="str"/>
      <x:c r="H29" s="38" t="str"/>
      <x:c r="I29" s="38" t="str"/>
      <x:c r="J29" s="38" t="n">
        <x:v>0.07</x:v>
      </x:c>
      <x:c r="K29" s="38" t="str"/>
      <x:c r="L29" s="38" t="str">
        <x:v>No</x:v>
      </x:c>
    </x:row>
    <x:row r="30">
      <x:c r="A30" s="38" t="str">
        <x:v>Pendiente</x:v>
      </x:c>
      <x:c r="B30" s="38" t="str"/>
      <x:c r="C30" s="38" t="str"/>
      <x:c r="D30" s="38" t="str"/>
      <x:c r="E30" s="38" t="str"/>
      <x:c r="F30" s="38" t="str"/>
      <x:c r="G30" s="38" t="str"/>
      <x:c r="H30" s="38" t="str"/>
      <x:c r="I30" s="38" t="str"/>
      <x:c r="J30" s="38" t="n">
        <x:v>0.07</x:v>
      </x:c>
      <x:c r="K30" s="38" t="str"/>
      <x:c r="L30" s="38" t="str">
        <x:v>No</x:v>
      </x:c>
    </x:row>
    <x:row r="31">
      <x:c r="A31" s="38" t="str">
        <x:v>Pendiente</x:v>
      </x:c>
      <x:c r="B31" s="38" t="str"/>
      <x:c r="C31" s="38" t="str"/>
      <x:c r="D31" s="38" t="str"/>
      <x:c r="E31" s="38" t="str"/>
      <x:c r="F31" s="38" t="str"/>
      <x:c r="G31" s="38" t="str"/>
      <x:c r="H31" s="38" t="str"/>
      <x:c r="I31" s="38" t="str"/>
      <x:c r="J31" s="38" t="n">
        <x:v>0.07</x:v>
      </x:c>
      <x:c r="K31" s="38" t="str"/>
      <x:c r="L31" s="38" t="str">
        <x:v>No</x:v>
      </x:c>
    </x:row>
    <x:row r="32">
      <x:c r="A32" s="38" t="str">
        <x:v>Pendiente</x:v>
      </x:c>
      <x:c r="B32" s="38" t="str"/>
      <x:c r="C32" s="38" t="str"/>
      <x:c r="D32" s="38" t="str"/>
      <x:c r="E32" s="38" t="str"/>
      <x:c r="F32" s="38" t="str"/>
      <x:c r="G32" s="38" t="str"/>
      <x:c r="H32" s="38" t="str"/>
      <x:c r="I32" s="38" t="str"/>
      <x:c r="J32" s="38" t="n">
        <x:v>0.07</x:v>
      </x:c>
      <x:c r="K32" s="38" t="str"/>
      <x:c r="L32" s="38" t="str">
        <x:v>No</x:v>
      </x:c>
    </x:row>
    <x:row r="33">
      <x:c r="A33" s="38" t="str">
        <x:v>Pendiente</x:v>
      </x:c>
      <x:c r="B33" s="38" t="str"/>
      <x:c r="C33" s="38" t="str"/>
      <x:c r="D33" s="38" t="str"/>
      <x:c r="E33" s="38" t="str"/>
      <x:c r="F33" s="38" t="str"/>
      <x:c r="G33" s="38" t="str"/>
      <x:c r="H33" s="38" t="str"/>
      <x:c r="I33" s="38" t="str"/>
      <x:c r="J33" s="38" t="n">
        <x:v>0.07</x:v>
      </x:c>
      <x:c r="K33" s="38" t="str"/>
      <x:c r="L33" s="38" t="str">
        <x:v>No</x:v>
      </x:c>
    </x:row>
    <x:row r="34">
      <x:c r="A34" s="38" t="str">
        <x:v>Pendiente</x:v>
      </x:c>
      <x:c r="B34" s="38" t="str"/>
      <x:c r="C34" s="38" t="str"/>
      <x:c r="D34" s="38" t="str"/>
      <x:c r="E34" s="38" t="str"/>
      <x:c r="F34" s="38" t="str"/>
      <x:c r="G34" s="38" t="str"/>
      <x:c r="H34" s="38" t="str"/>
      <x:c r="I34" s="38" t="str"/>
      <x:c r="J34" s="38" t="n">
        <x:v>0.07</x:v>
      </x:c>
      <x:c r="K34" s="38" t="str"/>
      <x:c r="L34" s="38" t="str">
        <x:v>No</x:v>
      </x:c>
    </x:row>
    <x:row r="35">
      <x:c r="A35" s="38" t="str">
        <x:v>Pendiente</x:v>
      </x:c>
      <x:c r="B35" s="38" t="str"/>
      <x:c r="C35" s="38" t="str"/>
      <x:c r="D35" s="38" t="str"/>
      <x:c r="E35" s="38" t="str"/>
      <x:c r="F35" s="38" t="str"/>
      <x:c r="G35" s="38" t="str"/>
      <x:c r="H35" s="38" t="str"/>
      <x:c r="I35" s="38" t="str"/>
      <x:c r="J35" s="38" t="n">
        <x:v>0.07</x:v>
      </x:c>
      <x:c r="K35" s="38" t="str"/>
      <x:c r="L35" s="38" t="str">
        <x:v>No</x:v>
      </x:c>
    </x:row>
    <x:row r="36">
      <x:c r="A36" s="38" t="str">
        <x:v>Pendiente</x:v>
      </x:c>
      <x:c r="B36" s="38" t="str"/>
      <x:c r="C36" s="38" t="str"/>
      <x:c r="D36" s="38" t="str"/>
      <x:c r="E36" s="38" t="str"/>
      <x:c r="F36" s="38" t="str"/>
      <x:c r="G36" s="38" t="str"/>
      <x:c r="H36" s="38" t="str"/>
      <x:c r="I36" s="38" t="str"/>
      <x:c r="J36" s="38" t="n">
        <x:v>0.07</x:v>
      </x:c>
      <x:c r="K36" s="38" t="str"/>
      <x:c r="L36" s="38" t="str">
        <x:v>No</x:v>
      </x:c>
    </x:row>
    <x:row r="37">
      <x:c r="A37" s="38" t="str">
        <x:v>Pendiente</x:v>
      </x:c>
      <x:c r="B37" s="38" t="str"/>
      <x:c r="C37" s="38" t="str"/>
      <x:c r="D37" s="38" t="str"/>
      <x:c r="E37" s="38" t="str"/>
      <x:c r="F37" s="38" t="str"/>
      <x:c r="G37" s="38" t="str"/>
      <x:c r="H37" s="38" t="str"/>
      <x:c r="I37" s="38" t="str"/>
      <x:c r="J37" s="38" t="n">
        <x:v>0.07</x:v>
      </x:c>
      <x:c r="K37" s="38" t="str"/>
      <x:c r="L37" s="38" t="str">
        <x:v>No</x:v>
      </x:c>
    </x:row>
    <x:row r="38">
      <x:c r="A38" s="38" t="str">
        <x:v>Pendiente</x:v>
      </x:c>
      <x:c r="B38" s="38" t="str"/>
      <x:c r="C38" s="38" t="str"/>
      <x:c r="D38" s="38" t="str"/>
      <x:c r="E38" s="38" t="str"/>
      <x:c r="F38" s="38" t="str"/>
      <x:c r="G38" s="38" t="str"/>
      <x:c r="H38" s="38" t="str"/>
      <x:c r="I38" s="38" t="str"/>
      <x:c r="J38" s="38" t="n">
        <x:v>0.07</x:v>
      </x:c>
      <x:c r="K38" s="38" t="str"/>
      <x:c r="L38" s="38" t="str">
        <x:v>No</x:v>
      </x:c>
    </x:row>
    <x:row r="39">
      <x:c r="A39" s="38" t="str">
        <x:v>Pendiente</x:v>
      </x:c>
      <x:c r="B39" s="38" t="str"/>
      <x:c r="C39" s="38" t="str"/>
      <x:c r="D39" s="38" t="str"/>
      <x:c r="E39" s="38" t="str"/>
      <x:c r="F39" s="38" t="str"/>
      <x:c r="G39" s="38" t="str"/>
      <x:c r="H39" s="38" t="str"/>
      <x:c r="I39" s="38" t="str"/>
      <x:c r="J39" s="38" t="n">
        <x:v>0.07</x:v>
      </x:c>
      <x:c r="K39" s="38" t="str"/>
      <x:c r="L39" s="38" t="str">
        <x:v>No</x:v>
      </x:c>
    </x:row>
    <x:row r="40">
      <x:c r="A40" s="38" t="str">
        <x:v>Pendiente</x:v>
      </x:c>
      <x:c r="B40" s="38" t="str"/>
      <x:c r="C40" s="38" t="str"/>
      <x:c r="D40" s="38" t="str"/>
      <x:c r="E40" s="38" t="str"/>
      <x:c r="F40" s="38" t="str"/>
      <x:c r="G40" s="38" t="str"/>
      <x:c r="H40" s="38" t="str"/>
      <x:c r="I40" s="38" t="str"/>
      <x:c r="J40" s="38" t="n">
        <x:v>0.07</x:v>
      </x:c>
      <x:c r="K40" s="38" t="str"/>
      <x:c r="L40" s="38" t="str">
        <x:v>No</x:v>
      </x:c>
    </x:row>
    <x:row r="41">
      <x:c r="A41" s="38" t="str">
        <x:v>Pendiente</x:v>
      </x:c>
      <x:c r="B41" s="38" t="str"/>
      <x:c r="C41" s="38" t="str"/>
      <x:c r="D41" s="38" t="str"/>
      <x:c r="E41" s="38" t="str"/>
      <x:c r="F41" s="38" t="str"/>
      <x:c r="G41" s="38" t="str"/>
      <x:c r="H41" s="38" t="str"/>
      <x:c r="I41" s="38" t="str"/>
      <x:c r="J41" s="38" t="n">
        <x:v>0.07</x:v>
      </x:c>
      <x:c r="K41" s="38" t="str"/>
      <x:c r="L41" s="38" t="str">
        <x:v>No</x:v>
      </x:c>
    </x:row>
    <x:row r="42">
      <x:c r="A42" s="38" t="str">
        <x:v>Pendiente</x:v>
      </x:c>
      <x:c r="B42" s="38" t="str"/>
      <x:c r="C42" s="38" t="str"/>
      <x:c r="D42" s="38" t="str"/>
      <x:c r="E42" s="38" t="str"/>
      <x:c r="F42" s="38" t="str"/>
      <x:c r="G42" s="38" t="str"/>
      <x:c r="H42" s="38" t="str"/>
      <x:c r="I42" s="38" t="str"/>
      <x:c r="J42" s="38" t="n">
        <x:v>0.07</x:v>
      </x:c>
      <x:c r="K42" s="38" t="str"/>
      <x:c r="L42" s="38" t="str">
        <x:v>No</x:v>
      </x:c>
    </x:row>
    <x:row r="43">
      <x:c r="A43" s="38" t="str">
        <x:v>Pendiente</x:v>
      </x:c>
      <x:c r="B43" s="38" t="str"/>
      <x:c r="C43" s="38" t="str"/>
      <x:c r="D43" s="38" t="str"/>
      <x:c r="E43" s="38" t="str"/>
      <x:c r="F43" s="38" t="str"/>
      <x:c r="G43" s="38" t="str"/>
      <x:c r="H43" s="38" t="str"/>
      <x:c r="I43" s="38" t="str"/>
      <x:c r="J43" s="38" t="n">
        <x:v>0.07</x:v>
      </x:c>
      <x:c r="K43" s="38" t="str"/>
      <x:c r="L43" s="38" t="str">
        <x:v>No</x:v>
      </x:c>
    </x:row>
    <x:row r="44">
      <x:c r="A44" s="38" t="str">
        <x:v>Pendiente</x:v>
      </x:c>
      <x:c r="B44" s="38" t="str"/>
      <x:c r="C44" s="38" t="str"/>
      <x:c r="D44" s="38" t="str"/>
      <x:c r="E44" s="38" t="str"/>
      <x:c r="F44" s="38" t="str"/>
      <x:c r="G44" s="38" t="str"/>
      <x:c r="H44" s="38" t="str"/>
      <x:c r="I44" s="38" t="str"/>
      <x:c r="J44" s="38" t="n">
        <x:v>0.07</x:v>
      </x:c>
      <x:c r="K44" s="38" t="str"/>
      <x:c r="L44" s="38" t="str">
        <x:v>No</x:v>
      </x:c>
    </x:row>
    <x:row r="45">
      <x:c r="A45" s="38" t="str">
        <x:v>Pendiente</x:v>
      </x:c>
      <x:c r="B45" s="38" t="str"/>
      <x:c r="C45" s="38" t="str"/>
      <x:c r="D45" s="38" t="str"/>
      <x:c r="E45" s="38" t="str"/>
      <x:c r="F45" s="38" t="str"/>
      <x:c r="G45" s="38" t="str"/>
      <x:c r="H45" s="38" t="str"/>
      <x:c r="I45" s="38" t="str"/>
      <x:c r="J45" s="38" t="n">
        <x:v>0.07</x:v>
      </x:c>
      <x:c r="K45" s="38" t="str"/>
      <x:c r="L45" s="38" t="str">
        <x:v>No</x:v>
      </x:c>
    </x:row>
    <x:row r="46">
      <x:c r="A46" s="38" t="str">
        <x:v>Pendiente</x:v>
      </x:c>
      <x:c r="B46" s="38" t="str"/>
      <x:c r="C46" s="38" t="str"/>
      <x:c r="D46" s="38" t="str"/>
      <x:c r="E46" s="38" t="str"/>
      <x:c r="F46" s="38" t="str"/>
      <x:c r="G46" s="38" t="str"/>
      <x:c r="H46" s="38" t="str"/>
      <x:c r="I46" s="38" t="str"/>
      <x:c r="J46" s="38" t="n">
        <x:v>0.07</x:v>
      </x:c>
      <x:c r="K46" s="38" t="str"/>
      <x:c r="L46" s="38" t="str">
        <x:v>No</x:v>
      </x:c>
    </x:row>
    <x:row r="47">
      <x:c r="A47" s="38" t="str">
        <x:v>Pendiente</x:v>
      </x:c>
      <x:c r="B47" s="38" t="str"/>
      <x:c r="C47" s="38" t="str"/>
      <x:c r="D47" s="38" t="str"/>
      <x:c r="E47" s="38" t="str"/>
      <x:c r="F47" s="38" t="str"/>
      <x:c r="G47" s="38" t="str"/>
      <x:c r="H47" s="38" t="str"/>
      <x:c r="I47" s="38" t="str"/>
      <x:c r="J47" s="38" t="n">
        <x:v>0.07</x:v>
      </x:c>
      <x:c r="K47" s="38" t="str"/>
      <x:c r="L47" s="38" t="str">
        <x:v>No</x:v>
      </x:c>
    </x:row>
    <x:row r="48">
      <x:c r="A48" s="38" t="str">
        <x:v>Pendiente</x:v>
      </x:c>
      <x:c r="B48" s="38" t="str"/>
      <x:c r="C48" s="38" t="str"/>
      <x:c r="D48" s="38" t="str"/>
      <x:c r="E48" s="38" t="str"/>
      <x:c r="F48" s="38" t="str"/>
      <x:c r="G48" s="38" t="str"/>
      <x:c r="H48" s="38" t="str"/>
      <x:c r="I48" s="38" t="str"/>
      <x:c r="J48" s="38" t="n">
        <x:v>0.07</x:v>
      </x:c>
      <x:c r="K48" s="38" t="str"/>
      <x:c r="L48" s="38" t="str">
        <x:v>No</x:v>
      </x:c>
    </x:row>
    <x:row r="49">
      <x:c r="A49" s="38" t="str">
        <x:v>Pendiente</x:v>
      </x:c>
      <x:c r="B49" s="38" t="str"/>
      <x:c r="C49" s="38" t="str"/>
      <x:c r="D49" s="38" t="str"/>
      <x:c r="E49" s="38" t="str"/>
      <x:c r="F49" s="38" t="str"/>
      <x:c r="G49" s="38" t="str"/>
      <x:c r="H49" s="38" t="str"/>
      <x:c r="I49" s="38" t="str"/>
      <x:c r="J49" s="38" t="n">
        <x:v>0.07</x:v>
      </x:c>
      <x:c r="K49" s="38" t="str"/>
      <x:c r="L49" s="38" t="str">
        <x:v>No</x:v>
      </x:c>
    </x:row>
    <x:row r="50">
      <x:c r="A50" s="38" t="str">
        <x:v>Pendiente</x:v>
      </x:c>
      <x:c r="B50" s="38" t="str"/>
      <x:c r="C50" s="38" t="str"/>
      <x:c r="D50" s="38" t="str"/>
      <x:c r="E50" s="38" t="str"/>
      <x:c r="F50" s="38" t="str"/>
      <x:c r="G50" s="38" t="str"/>
      <x:c r="H50" s="38" t="str"/>
      <x:c r="I50" s="38" t="str"/>
      <x:c r="J50" s="38" t="n">
        <x:v>0.07</x:v>
      </x:c>
      <x:c r="K50" s="38" t="str"/>
      <x:c r="L50" s="38" t="str">
        <x:v>No</x:v>
      </x:c>
    </x:row>
    <x:row r="51">
      <x:c r="A51" s="38" t="str">
        <x:v>Pendiente</x:v>
      </x:c>
      <x:c r="B51" s="38" t="str"/>
      <x:c r="C51" s="38" t="str"/>
      <x:c r="D51" s="38" t="str"/>
      <x:c r="E51" s="38" t="str"/>
      <x:c r="F51" s="38" t="str"/>
      <x:c r="G51" s="38" t="str"/>
      <x:c r="H51" s="38" t="str"/>
      <x:c r="I51" s="38" t="str"/>
      <x:c r="J51" s="38" t="n">
        <x:v>0.07</x:v>
      </x:c>
      <x:c r="K51" s="38" t="str"/>
      <x:c r="L51" s="38" t="str">
        <x:v>No</x:v>
      </x:c>
    </x:row>
  </x:sheetData>
  <x:dataValidations count="3">
    <x:dataValidation type="list" sqref="A2:A51">
      <x:formula1>"Pendiente,Solicitado,Recibido,Añadido,Descartado"</x:formula1>
    </x:dataValidation>
    <x:dataValidation type="list" sqref="D2:D51">
      <x:formula1>Listas_EON!$A$2:$A$12</x:formula1>
    </x:dataValidation>
    <x:dataValidation type="list" sqref="L2:L51">
      <x:formula1>Listas_EON!$D$2:$D$3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514305159d456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118" t="str">
        <x:v>Categorías</x:v>
      </x:c>
      <x:c r="B1" s="118" t="str">
        <x:v>Unidades</x:v>
      </x:c>
      <x:c r="C1" s="118" t="str">
        <x:v>Tipos imputación</x:v>
      </x:c>
      <x:c r="D1" s="118" t="str">
        <x:v>Sí/No</x:v>
      </x:c>
      <x:c r="E1" s="118" t="str">
        <x:v>Confianza</x:v>
      </x:c>
    </x:row>
    <x:row r="2">
      <x:c r="A2" t="str">
        <x:v>Tubería frigorífica</x:v>
      </x:c>
      <x:c r="B2" t="str">
        <x:v>Unidad</x:v>
      </x:c>
      <x:c r="C2" t="str">
        <x:v>Por unidad</x:v>
      </x:c>
      <x:c r="D2" t="str">
        <x:v>Sí</x:v>
      </x:c>
      <x:c r="E2" t="str">
        <x:v>Alta</x:v>
      </x:c>
    </x:row>
    <x:row r="3">
      <x:c r="A3" t="str">
        <x:v>Canaleta</x:v>
      </x:c>
      <x:c r="B3" t="str">
        <x:v>Metro</x:v>
      </x:c>
      <x:c r="C3" t="str">
        <x:v>Por metros</x:v>
      </x:c>
      <x:c r="D3" t="str">
        <x:v>No</x:v>
      </x:c>
      <x:c r="E3" t="str">
        <x:v>Media</x:v>
      </x:c>
    </x:row>
    <x:row r="4">
      <x:c r="A4" t="str">
        <x:v>Electricidad</x:v>
      </x:c>
      <x:c r="B4" t="str">
        <x:v>Rollo</x:v>
      </x:c>
      <x:c r="C4" t="str">
        <x:v>Por rollo o metros proporcionales</x:v>
      </x:c>
      <x:c r="D4"/>
      <x:c r="E4" t="str">
        <x:v>Media-Baja</x:v>
      </x:c>
    </x:row>
    <x:row r="5">
      <x:c r="A5" t="str">
        <x:v>Desagüe</x:v>
      </x:c>
      <x:c r="B5" t="str">
        <x:v>Botella</x:v>
      </x:c>
      <x:c r="C5" t="str">
        <x:v>Botella / 3 instalaciones</x:v>
      </x:c>
      <x:c r="D5"/>
      <x:c r="E5" t="str">
        <x:v>Baja</x:v>
      </x:c>
    </x:row>
    <x:row r="6">
      <x:c r="A6" t="str">
        <x:v>Pequeño material</x:v>
      </x:c>
      <x:c r="B6" t="str">
        <x:v>Caja</x:v>
      </x:c>
      <x:c r="C6" t="str">
        <x:v>Por día</x:v>
      </x:c>
      <x:c r="D6"/>
      <x:c r="E6" t="str">
        <x:v>Pendiente</x:v>
      </x:c>
    </x:row>
    <x:row r="7">
      <x:c r="A7" t="str">
        <x:v>Soportes y fijaciones</x:v>
      </x:c>
      <x:c r="B7" t="str">
        <x:v>Bolsa</x:v>
      </x:c>
      <x:c r="C7" t="str">
        <x:v>Por hora</x:v>
      </x:c>
      <x:c r="D7"/>
      <x:c r="E7"/>
    </x:row>
    <x:row r="8">
      <x:c r="A8" t="str">
        <x:v>Consumibles técnicos</x:v>
      </x:c>
      <x:c r="B8" t="str">
        <x:v>Kit</x:v>
      </x:c>
      <x:c r="C8" t="str">
        <x:v>Fijo por obra</x:v>
      </x:c>
      <x:c r="D8"/>
      <x:c r="E8"/>
    </x:row>
    <x:row r="9">
      <x:c r="A9" t="str">
        <x:v>Servicio</x:v>
      </x:c>
      <x:c r="B9" t="str">
        <x:v>Día</x:v>
      </x:c>
      <x:c r="C9"/>
      <x:c r="D9"/>
      <x:c r="E9"/>
    </x:row>
    <x:row r="10">
      <x:c r="A10" t="str">
        <x:v>Máquina/Equipo</x:v>
      </x:c>
      <x:c r="B10" t="str">
        <x:v>Hora</x:v>
      </x:c>
      <x:c r="C10"/>
      <x:c r="D10"/>
      <x:c r="E10"/>
    </x:row>
    <x:row r="11">
      <x:c r="A11" t="str">
        <x:v>Conductos/Ventilación</x:v>
      </x:c>
      <x:c r="B11" t="str">
        <x:v>Instalación</x:v>
      </x:c>
      <x:c r="C11"/>
      <x:c r="D11"/>
      <x:c r="E11"/>
    </x:row>
    <x:row r="12">
      <x:c r="A12" t="str">
        <x:v>Sin clasificar</x:v>
      </x:c>
      <x:c r="B12" t="str">
        <x:v>m²</x:v>
      </x:c>
      <x:c r="C12"/>
      <x:c r="D12"/>
      <x:c r="E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70" hidden="0" customWidth="1"/>
  </x:cols>
  <x:sheetData>
    <x:row r="1">
      <x:c r="A1" s="128" t="str">
        <x:v>Área</x:v>
      </x:c>
      <x:c r="B1" s="128" t="str">
        <x:v>Regla</x:v>
      </x:c>
      <x:c r="C1" s="128" t="str">
        <x:v>Valor/Acción</x:v>
      </x:c>
    </x:row>
    <x:row r="2">
      <x:c r="A2" s="129" t="str">
        <x:v>IGIC</x:v>
      </x:c>
      <x:c r="B2" s="38" t="str">
        <x:v>Aplicar al final al cliente</x:v>
      </x:c>
      <x:c r="C2" s="38" t="str">
        <x:v>7%</x:v>
      </x:c>
    </x:row>
    <x:row r="3">
      <x:c r="A3" s="129" t="str">
        <x:v>Máquinas</x:v>
      </x:c>
      <x:c r="B3" s="38" t="str">
        <x:v>Precio cliente normal</x:v>
      </x:c>
      <x:c r="C3" s="38" t="str">
        <x:v>PVP proveedor</x:v>
      </x:c>
    </x:row>
    <x:row r="4">
      <x:c r="A4" s="129" t="str">
        <x:v>Máquinas</x:v>
      </x:c>
      <x:c r="B4" s="38" t="str">
        <x:v>Coste interno</x:v>
      </x:c>
      <x:c r="C4" s="38" t="str">
        <x:v>Neto proveedor + tasas + portes</x:v>
      </x:c>
    </x:row>
    <x:row r="5">
      <x:c r="A5" s="129" t="str">
        <x:v>Portes</x:v>
      </x:c>
      <x:c r="B5" s="38" t="str">
        <x:v>Cómo se presentan</x:v>
      </x:c>
      <x:c r="C5" s="38" t="str">
        <x:v>Metidos dentro de la máquina salvo indicación</x:v>
      </x:c>
    </x:row>
    <x:row r="6">
      <x:c r="A6" s="129" t="str">
        <x:v>Mano de obra</x:v>
      </x:c>
      <x:c r="B6" s="38" t="str">
        <x:v>Precio cliente</x:v>
      </x:c>
      <x:c r="C6" s="38" t="str">
        <x:v>25 €/h por trabajador</x:v>
      </x:c>
    </x:row>
    <x:row r="7">
      <x:c r="A7" s="129" t="str">
        <x:v>Mano de obra</x:v>
      </x:c>
      <x:c r="B7" s="38" t="str">
        <x:v>Coste interno</x:v>
      </x:c>
      <x:c r="C7" s="38" t="str">
        <x:v>Coste empresa mensual / horas reales del mes</x:v>
      </x:c>
    </x:row>
    <x:row r="8">
      <x:c r="A8" s="129" t="str">
        <x:v>Transporte</x:v>
      </x:c>
      <x:c r="B8" s="38" t="str">
        <x:v>Regla general</x:v>
      </x:c>
      <x:c r="C8" s="38" t="str">
        <x:v>30 €/día</x:v>
      </x:c>
    </x:row>
    <x:row r="9">
      <x:c r="A9" s="129" t="str">
        <x:v>Tubería</x:v>
      </x:c>
      <x:c r="B9" s="38" t="str">
        <x:v>Rollo estándar</x:v>
      </x:c>
      <x:c r="C9" s="38" t="str">
        <x:v>20 metros</x:v>
      </x:c>
    </x:row>
    <x:row r="10">
      <x:c r="A10" s="129" t="str">
        <x:v>Tubería</x:v>
      </x:c>
      <x:c r="B10" s="38" t="str">
        <x:v>Si se pasa en metros</x:v>
      </x:c>
      <x:c r="C10" s="38" t="str">
        <x:v>Calcular proporcional</x:v>
      </x:c>
    </x:row>
    <x:row r="11">
      <x:c r="A11" s="129" t="str">
        <x:v>Tubería</x:v>
      </x:c>
      <x:c r="B11" s="38" t="str">
        <x:v>Si se pasa en rollos</x:v>
      </x:c>
      <x:c r="C11" s="38" t="str">
        <x:v>Calcular rollo completo</x:v>
      </x:c>
    </x:row>
    <x:row r="12">
      <x:c r="A12" s="129" t="str">
        <x:v>Nitrógeno</x:v>
      </x:c>
      <x:c r="B12" s="38" t="str">
        <x:v>Imputación</x:v>
      </x:c>
      <x:c r="C12" s="38" t="str">
        <x:v>Botella / 3 instalaciones</x:v>
      </x:c>
    </x:row>
    <x:row r="13">
      <x:c r="A13" s="129" t="str">
        <x:v>Margen</x:v>
      </x:c>
      <x:c r="B13" s="38" t="str">
        <x:v>Mínimo orientativo</x:v>
      </x:c>
      <x:c r="C13" s="38" t="str">
        <x:v>15%</x:v>
      </x:c>
    </x:row>
    <x:row r="14">
      <x:c r="A14" s="129" t="str">
        <x:v>Margen</x:v>
      </x:c>
      <x:c r="B14" s="38" t="str">
        <x:v>Ideal</x:v>
      </x:c>
      <x:c r="C14" s="38" t="str">
        <x:v>20%</x:v>
      </x:c>
    </x:row>
    <x:row r="15">
      <x:c r="A15" s="129" t="str">
        <x:v>Soldadura</x:v>
      </x:c>
      <x:c r="B15" s="38" t="str">
        <x:v>Ajuste margen objetivo</x:v>
      </x:c>
      <x:c r="C15" s="38" t="str">
        <x:v>+2 puntos</x:v>
      </x:c>
    </x:row>
    <x:row r="16">
      <x:c r="A16" s="129" t="str">
        <x:v>Pequeño material</x:v>
      </x:c>
      <x:c r="B16" s="38" t="str">
        <x:v>Importe dado por Index Clima</x:v>
      </x:c>
      <x:c r="C16" s="38" t="str">
        <x:v>Usarlo como precio cliente, no añadir margen extra</x:v>
      </x:c>
    </x:row>
    <x:row r="17">
      <x:c r="A17" s="129" t="str">
        <x:v>Faltan datos</x:v>
      </x:c>
      <x:c r="B17" s="38" t="str">
        <x:v>Acción EON</x:v>
      </x:c>
      <x:c r="C17" s="38" t="str">
        <x:v>Preguntar precio, metros, tipo, días, empleados o máquina antes de cerrar</x:v>
      </x:c>
    </x:row>
    <x:row r="18">
      <x:c r="A18" s="129" t="str">
        <x:v>Aviso transporte</x:v>
      </x:c>
      <x:c r="B18" s="38" t="str">
        <x:v>Acción EON</x:v>
      </x:c>
      <x:c r="C18" s="38" t="str">
        <x:v>Si no es 30 €/día, preguntar si es por cercanía/distancia/otro motivo</x:v>
      </x:c>
    </x:row>
    <x:row r="19">
      <x:c r="A19" s="129" t="str">
        <x:v>Exclusiones</x:v>
      </x:c>
      <x:c r="B19" s="38" t="str">
        <x:v>Por defecto</x:v>
      </x:c>
      <x:c r="C19" s="38" t="str">
        <x:v>Alimentación eléctrica, albañilería, rozas, pintura, bomba, plataforma, grúa, retirada de equipos salvo indicación</x:v>
      </x:c>
    </x:row>
  </x:sheetData>
  <x:pageMargins left="0.7" right="0.7" top="0.75" bottom="0.75" header="0.3" footer="0.3"/>
  <x:tableParts count="1">
    <x:tablePart xmlns:r="http://schemas.openxmlformats.org/officeDocument/2006/relationships" r:id="Rc8398033bbb94577"/>
  </x:tableParts>
</x:worksheet>
</file>